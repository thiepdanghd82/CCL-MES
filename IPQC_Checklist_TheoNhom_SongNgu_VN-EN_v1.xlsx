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Volumes/Macintosh Data/Claude-Cowork/3. PROJECTS/CCL-CMES/CCL-MES/"/>
    </mc:Choice>
  </mc:AlternateContent>
  <xr:revisionPtr revIDLastSave="0" documentId="8_{A2C177F1-E4B9-8542-92D2-8A8FBC1DCABF}" xr6:coauthVersionLast="47" xr6:coauthVersionMax="47" xr10:uidLastSave="{00000000-0000-0000-0000-000000000000}"/>
  <bookViews>
    <workbookView xWindow="0" yWindow="660" windowWidth="30240" windowHeight="17700" tabRatio="500" activeTab="1" xr2:uid="{00000000-000D-0000-FFFF-FFFF00000000}"/>
  </bookViews>
  <sheets>
    <sheet name="HƯỚNG DẪN - GUIDE" sheetId="1" r:id="rId1"/>
    <sheet name="IN NHÃN" sheetId="2" r:id="rId2"/>
    <sheet name="IN LỤA" sheetId="3" r:id="rId3"/>
    <sheet name="DẬP-CNC" sheetId="4" r:id="rId4"/>
    <sheet name="TẦN SUẤT &amp; CỠ MẪU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8" i="5" l="1"/>
  <c r="C27" i="5"/>
  <c r="C26" i="5"/>
  <c r="C25" i="5"/>
  <c r="C24" i="5"/>
  <c r="C48" i="4"/>
  <c r="G47" i="4"/>
  <c r="G46" i="4"/>
  <c r="G45" i="4"/>
  <c r="G44" i="4"/>
  <c r="G43" i="4"/>
  <c r="G42" i="4"/>
  <c r="G41" i="4"/>
  <c r="C46" i="3"/>
  <c r="G45" i="3"/>
  <c r="G44" i="3"/>
  <c r="G43" i="3"/>
  <c r="G42" i="3"/>
  <c r="G41" i="3"/>
  <c r="G40" i="3"/>
  <c r="G39" i="3"/>
  <c r="C53" i="2"/>
  <c r="G52" i="2"/>
  <c r="G51" i="2"/>
  <c r="G50" i="2"/>
  <c r="G49" i="2"/>
  <c r="G48" i="2"/>
  <c r="G47" i="2"/>
  <c r="G46" i="2"/>
</calcChain>
</file>

<file path=xl/sharedStrings.xml><?xml version="1.0" encoding="utf-8"?>
<sst xmlns="http://schemas.openxmlformats.org/spreadsheetml/2006/main" count="874" uniqueCount="451">
  <si>
    <t>CHECKLIST IPQC THEO NHÓM ĐẶC TÍNH — SONG NGỮ VN/EN</t>
  </si>
  <si>
    <t>IPQC Inspection Checklist by Quality Characteristic (Bilingual) · CCL Vietnam — Yen Phong</t>
  </si>
  <si>
    <t>1 · MỤC ĐÍCH / PURPOSE</t>
  </si>
  <si>
    <t>• Checklist kiểm tra SẢN PHẨM theo 4 nhóm đặc tính — bổ trợ checklist 5M+E (sẵn sàng SX).</t>
  </si>
  <si>
    <t xml:space="preserve">   • Product inspection checklist by 4 characteristic groups — complements the 5M+E readiness checklist.</t>
  </si>
  <si>
    <t>• Mỗi hạng mục: mã (A1, B2…), tiêu chuẩn chấp nhận, phương pháp/dụng cụ, mức, cỡ mẫu (AQL), kết quả.</t>
  </si>
  <si>
    <t xml:space="preserve">   • Each item: code, acceptance criteria, method/tool, severity, sample size (AQL), result.</t>
  </si>
  <si>
    <t>• Xếp ưu tiên theo tần suất lỗi thực tế 2025–2026.</t>
  </si>
  <si>
    <t xml:space="preserve">   • Prioritized by actual 2025–2026 defect frequency.</t>
  </si>
  <si>
    <t>2 · 4 NHÓM / 4 GROUPS</t>
  </si>
  <si>
    <t>Nhóm / Group</t>
  </si>
  <si>
    <t>Mô tả / Description</t>
  </si>
  <si>
    <t>Mã ví dụ / Codes</t>
  </si>
  <si>
    <t>A · Ngoại quan / Appearance</t>
  </si>
  <si>
    <t>Lỗi nhìn thấy + đúng nội dung in / Visual defects + print content</t>
  </si>
  <si>
    <t>A1 Nội dung · A2 Lệch · A3 Bẩn…</t>
  </si>
  <si>
    <t>B · Kích thước / Dimension</t>
  </si>
  <si>
    <t>Đo KT, vị trí, bước nhảy, độ sâu cắt, lỗ, độ phẳng / Dimensions</t>
  </si>
  <si>
    <t>B1 KT tổng · B4 Bước nhảy…</t>
  </si>
  <si>
    <t>C · Màu sắc / Color</t>
  </si>
  <si>
    <t>Màu so mẫu, mã mực, độ phủ, bóng/mờ, đồng nhất lô / Color</t>
  </si>
  <si>
    <t>C1 So mẫu · C4 Độ phủ…</t>
  </si>
  <si>
    <t>D · Chức năng / Function</t>
  </si>
  <si>
    <t>Bám mực, cross-cut, chà cồn, mã vạch, lắp ghép / Functional tests</t>
  </si>
  <si>
    <t>D1 Tape · D2 Cross-cut · D3 Cồn…</t>
  </si>
  <si>
    <t>3 · QUY ƯỚC / LEGEND</t>
  </si>
  <si>
    <t>◆ Trọng yếu / Critical — NG = DỪNG, không chạy SX / any NG = STOP, no run.</t>
  </si>
  <si>
    <t>● Quan trọng / Major — khắc phục trước khi chạy / fix before run.</t>
  </si>
  <si>
    <t>○ Thường / Minor — ghi nhận, khắc phục trong ca / record &amp; fix in shift.</t>
  </si>
  <si>
    <t>Kết quả / Result: OK · NG · N/A (ô xổ xuống / dropdown). KẾT LUẬN tự tính theo NG ở ◆.</t>
  </si>
  <si>
    <t>Cỡ mẫu / Sampling: FAI 100% mẫu đầu + AQL theo mức (sheet TẦN SUẤT &amp; CỠ MẪU).</t>
  </si>
  <si>
    <t>4 · NGUỒN / SOURCE</t>
  </si>
  <si>
    <t>Nguồn: IPQC results 2025+2026 (Sampling, FAI, Pantrol audit, check sheet chống lặp). Test chức năng: ISO 2409/ASTM D3359, tape, IPA rub, ISO 15415/16.</t>
  </si>
  <si>
    <t>Source: IPQC results 2025+2026. Functional tests per ISO 2409/ASTM D3359, tape, IPA rub, ISO 15415/16. By data analysis — v1, 2026-06-02.</t>
  </si>
  <si>
    <t>DÒNG IN NHÃN / LABEL</t>
  </si>
  <si>
    <t>CHECKLIST IPQC THEO NHÓM ĐẶC TÍNH (VN/EN) · Flexo · Gallus · Letter press · RDC · Flatbed</t>
  </si>
  <si>
    <t>Ngày / Date:</t>
  </si>
  <si>
    <t>Máy / Machine:</t>
  </si>
  <si>
    <t>Mã hàng / IFS:</t>
  </si>
  <si>
    <t>Công đoạn / Process:</t>
  </si>
  <si>
    <t>Màu / Color:</t>
  </si>
  <si>
    <t>NVVH / Operator:</t>
  </si>
  <si>
    <t>Lệnh SX / WO:</t>
  </si>
  <si>
    <t>SL đơn / Qty:</t>
  </si>
  <si>
    <t>IPQC / Inspector:</t>
  </si>
  <si>
    <t>Mã</t>
  </si>
  <si>
    <t>HẠNG MỤC / Characteristic</t>
  </si>
  <si>
    <t>TIÊU CHUẨN CHẤP NHẬN / Acceptance</t>
  </si>
  <si>
    <t>PHƯƠNG PHÁP·DỤNG CỤ / Method·Tool</t>
  </si>
  <si>
    <t>Mức</t>
  </si>
  <si>
    <t>CỠ MẪU / Sampling</t>
  </si>
  <si>
    <t>KẾT QUẢ / Result</t>
  </si>
  <si>
    <t>GHI CHÚ / Note</t>
  </si>
  <si>
    <t>A · NGOẠI QUAN / APPEARANCE</t>
  </si>
  <si>
    <t>A1</t>
  </si>
  <si>
    <t>Đúng nội dung in (Print content: text/logo/code/serial)</t>
  </si>
  <si>
    <t>Nội dung, chữ, logo, mã, số seri ĐÚNG so spec/mẫu chuẩn
Content, text, logo, code, serial CORRECT vs spec/master</t>
  </si>
  <si>
    <t>Soi mắt + đối chiếu mẫu chuẩn/spec; kính lúp
Visual + compare master/spec; loupe</t>
  </si>
  <si>
    <t>◆</t>
  </si>
  <si>
    <t>100% mẫu đầu + AQL 0,65
100% first article + AQL 0,65</t>
  </si>
  <si>
    <t>Lỗi lặp — sai phôi/trùng seri
Recurring — wrong blank/dup serial</t>
  </si>
  <si>
    <t>A2</t>
  </si>
  <si>
    <t>Lệch chồng màu (Mis-register)</t>
  </si>
  <si>
    <t>Chồng màu khít so mẫu chuẩn; lệch ≤ dung sai spec
Color registration tight vs master; ≤ spec tol.</t>
  </si>
  <si>
    <t>Soi mắt + đối chiếu mẫu chuẩn; kính lúp
Visual + master compare; loupe</t>
  </si>
  <si>
    <t>Top1 — 40% NG</t>
  </si>
  <si>
    <t>A3</t>
  </si>
  <si>
    <t>Bẩn / đốm / chấm (Dirty/Smear/Dot)</t>
  </si>
  <si>
    <t>Không vết bẩn, đốm mực, dây mực, chấm lạ
No dirt, smear, smudge, stray dots</t>
  </si>
  <si>
    <t>Soi mắt dưới đèn chuẩn
Visual under standard light</t>
  </si>
  <si>
    <t>Top2 — 26% NG</t>
  </si>
  <si>
    <t>A4</t>
  </si>
  <si>
    <t>Loang, sọc (Mottled/Streak)</t>
  </si>
  <si>
    <t>Lớp mực đều, không loang, sọc
Even ink, no mottle/streak</t>
  </si>
  <si>
    <t>Soi mắt
Visual</t>
  </si>
  <si>
    <t>●</t>
  </si>
  <si>
    <t>100% mẫu đầu + AQL 1,5
100% first article + AQL 1,5</t>
  </si>
  <si>
    <t>2% NG</t>
  </si>
  <si>
    <t>A5</t>
  </si>
  <si>
    <t>Xước bề mặt (Scratch)</t>
  </si>
  <si>
    <t>Không vết xước trên bề mặt in
No scratch on printed surface</t>
  </si>
  <si>
    <t>Soi mắt nghiêng + đèn
Raking-light visual</t>
  </si>
  <si>
    <t>6% NG</t>
  </si>
  <si>
    <t>A6</t>
  </si>
  <si>
    <t>Bavia, dính keo, tràn keo (Burr/Glue)</t>
  </si>
  <si>
    <t>Mép sạch, không bavia, không dính/tràn keo
Clean edge, no burr, no glue smear/overflow</t>
  </si>
  <si>
    <t>Soi mắt + sờ mép
Visual + feel edge</t>
  </si>
  <si>
    <t>10% NG</t>
  </si>
  <si>
    <t>A7</t>
  </si>
  <si>
    <t>Bong / phồng ép dán (Peel/Blister)</t>
  </si>
  <si>
    <t>Lớp cán/ép dán bám chắc, không bong, phồng
Laminate bonded, no peel/blister</t>
  </si>
  <si>
    <t>Soi mắt + gập nhẹ
Visual + slight bend</t>
  </si>
  <si>
    <t>A8</t>
  </si>
  <si>
    <t>Cắt sâu / thủng lot / cắt-xẻ lệch (Full-cut)</t>
  </si>
  <si>
    <t>Bế đúng lớp, không thủng đế/lot, không cắt-xẻ lệch
Die-cut to correct layer; no liner puncture/off-cut</t>
  </si>
  <si>
    <t>Soi mắt + tách thử
Visual + peel test</t>
  </si>
  <si>
    <t>4% NG (Pantrol)</t>
  </si>
  <si>
    <t>A9</t>
  </si>
  <si>
    <t>Lõm, gãy, hằn (Dent/Crease)</t>
  </si>
  <si>
    <t>Không lõm, gãy, hằn trên sản phẩm
No dent, crack, crease</t>
  </si>
  <si>
    <t>4% NG</t>
  </si>
  <si>
    <t>A10</t>
  </si>
  <si>
    <t>Thiếu áp lực / mất nét (Missing detail)</t>
  </si>
  <si>
    <t>In đủ nét, rõ ràng, không mất chi tiết
Full sharp print, no missing detail</t>
  </si>
  <si>
    <t>Soi mắt + kính lúp; đối chiếu mẫu
Visual + loupe; vs master</t>
  </si>
  <si>
    <t>Lỗi lọt — khuôn bẩn
Escape — dirty plate</t>
  </si>
  <si>
    <t>A11</t>
  </si>
  <si>
    <t>Không đều (Uneven coverage)</t>
  </si>
  <si>
    <t>Lớp in/phủ đều, không chỗ mỏng/dày
Even ink/coating, no thin/thick spots</t>
  </si>
  <si>
    <t>Soi mắt nghiêng
Raking-light visual</t>
  </si>
  <si>
    <t>Sampling col.
Sampling col.</t>
  </si>
  <si>
    <t>A12</t>
  </si>
  <si>
    <t>Khuyết, thiếu chi tiết (Incomplete)</t>
  </si>
  <si>
    <t>Đủ chi tiết theo mẫu chuẩn
All details present vs master</t>
  </si>
  <si>
    <t>Soi mắt + đối chiếu
Visual + compare</t>
  </si>
  <si>
    <t>1% NG</t>
  </si>
  <si>
    <t>A13</t>
  </si>
  <si>
    <t>Nhăn / biến dạng (Wrinkle/Deform)</t>
  </si>
  <si>
    <t>Bề mặt phẳng, không nhăn, không biến dạng
Flat surface, no wrinkle/deform</t>
  </si>
  <si>
    <t>Lỗi lọt FQC
Escape at FQC</t>
  </si>
  <si>
    <t>A14</t>
  </si>
  <si>
    <t>Lỗ pin (Pin hole)</t>
  </si>
  <si>
    <t>Không lỗ kim trên lớp in
No pinhole in print</t>
  </si>
  <si>
    <t>Soi mắt + đèn nền
Visual + backlight</t>
  </si>
  <si>
    <t>○</t>
  </si>
  <si>
    <t>100% mẫu đầu + AQL 4,0
100% first article + AQL 4,0</t>
  </si>
  <si>
    <t>&lt;1% NG</t>
  </si>
  <si>
    <t>A15</t>
  </si>
  <si>
    <t>Hoàn thiện bề mặt (Finish: gloss/matte/laminate)</t>
  </si>
  <si>
    <t>Lớp phủ/cán/vân đúng loại &amp; đều theo mẫu
Coating/lamination/texture correct &amp; even vs master</t>
  </si>
  <si>
    <t>Soi mắt + sờ; đối chiếu mẫu
Visual + feel; vs master</t>
  </si>
  <si>
    <t>Finish
Finish</t>
  </si>
  <si>
    <t>B · KÍCH THƯỚC / DIMENSION</t>
  </si>
  <si>
    <t>B1</t>
  </si>
  <si>
    <t>Kích thước tổng thể nhãn (Overall W×L)</t>
  </si>
  <si>
    <t>Trong dung sai bản vẽ
Within drawing tolerance</t>
  </si>
  <si>
    <t>Thước cặp / máy đo (KHÔNG thước lá cho dung sai nhỏ)
Caliper/CMM (NOT steel rule for tight tol.)</t>
  </si>
  <si>
    <t>Lỗi lọt — đo sai dụng cụ
Escape — wrong gauge</t>
  </si>
  <si>
    <t>B2</t>
  </si>
  <si>
    <t>Kích thước vùng in / nội dung (Print area)</t>
  </si>
  <si>
    <t>Vùng in đúng kích thước &amp; tỉ lệ spec
Print area correct size &amp; ratio per spec</t>
  </si>
  <si>
    <t>Thước + kính lúp đo
Ruler + loupe</t>
  </si>
  <si>
    <t>B3</t>
  </si>
  <si>
    <t>Vị trí in / lề / căn giữa (Position/Margin)</t>
  </si>
  <si>
    <t>Đúng vị trí so đế &amp; đường bế; lề đều
Correct position vs liner &amp; die line; even margins</t>
  </si>
  <si>
    <t>Thước + đối chiếu layout
Ruler + layout compare</t>
  </si>
  <si>
    <t>B4</t>
  </si>
  <si>
    <t>Bước nhảy / khoảng lặp (Step/Repeat)</t>
  </si>
  <si>
    <t>Đúng bước, không sai khoảng cách lặp
Correct step, no repeat-pitch error</t>
  </si>
  <si>
    <t>Thước + đếm; tắt chế độ mắt đọc khi kiểm
Ruler + count; disable eye-mark</t>
  </si>
  <si>
    <t>Lỗi lặp — sai bước nhảy
Recurring — wrong step</t>
  </si>
  <si>
    <t>B5</t>
  </si>
  <si>
    <t>Kích thước &amp; hình bế, góc dao (Die-cut)</t>
  </si>
  <si>
    <t>Đúng hình bế, kích thước &amp; góc dao spec
Correct die shape, size &amp; blade angle per spec</t>
  </si>
  <si>
    <t>Đối chiếu mẫu/dưỡng; cắt thử dao
vs master/gauge; trial cut</t>
  </si>
  <si>
    <t>Lỗi lặp — sai góc dao
Recurring — wrong die angle</t>
  </si>
  <si>
    <t>B6</t>
  </si>
  <si>
    <t>Khoảng cách giữa con / lỗ định vị (Gap/Hole)</t>
  </si>
  <si>
    <t>Đúng khoảng cách giữa các con &amp; vị trí lỗ
Correct gap between labels &amp; hole position</t>
  </si>
  <si>
    <t>Thước + đối chiếu dưỡng
Ruler + gauge</t>
  </si>
  <si>
    <t>B7</t>
  </si>
  <si>
    <t>Số con/hàng trên cuộn-tờ (Count)</t>
  </si>
  <si>
    <t>Đúng số con/hàng theo spec
Correct count per spec</t>
  </si>
  <si>
    <t>Đếm + đối chiếu
Count + compare</t>
  </si>
  <si>
    <t>C · MÀU SẮC / COLOR</t>
  </si>
  <si>
    <t>C1</t>
  </si>
  <si>
    <t>Màu so mẫu chuẩn (Color vs master)</t>
  </si>
  <si>
    <t>Đạt trong giới hạn màu; ΔE ≤ spec
Within color limits; ΔE ≤ spec</t>
  </si>
  <si>
    <t>Soi đèn chuẩn D50/D65 + máy đo màu (nếu có)
Standard light D50/D65 + colorimeter (if any)</t>
  </si>
  <si>
    <t>NG màu hiếm nhưng nặng
Color NG: rare but severe</t>
  </si>
  <si>
    <t>C2</t>
  </si>
  <si>
    <t>Mã mực đúng spec (Ink code)</t>
  </si>
  <si>
    <t>Mã mực thực tế ↔ spec khớp
Actual ink code ↔ spec match</t>
  </si>
  <si>
    <t>Đối chiếu tem mực ↔ spec
Compare ink label ↔ spec</t>
  </si>
  <si>
    <t>Lỗi lặp (In lụa)
Recurring (Silk)</t>
  </si>
  <si>
    <t>C3</t>
  </si>
  <si>
    <t>Đồng đều màu trong tem &amp; giữa các con (Uniformity)</t>
  </si>
  <si>
    <t>Màu đều toàn tem &amp; giữa các con/hàng
Color even across label &amp; between pcs</t>
  </si>
  <si>
    <t>Soi mắt nhiều vị trí
Visual, multiple spots</t>
  </si>
  <si>
    <t>C4</t>
  </si>
  <si>
    <t>Độ đậm / độ phủ mực (Density/Coverage)</t>
  </si>
  <si>
    <t>Đậm nhạt &amp; độ phủ trong giới hạn mẫu
Density &amp; coverage within master limits</t>
  </si>
  <si>
    <t>Soi mắt; máy đo mật độ (nếu có)
Visual; densitometer (if any)</t>
  </si>
  <si>
    <t>C5</t>
  </si>
  <si>
    <t>Độ bóng / mờ bề mặt (Gloss/Matte)</t>
  </si>
  <si>
    <t>Độ bóng/mờ đúng loại spec, đồng nhất
Gloss/matte per spec, uniform</t>
  </si>
  <si>
    <t>Soi mắt nghiêng; đối chiếu mẫu
Raking-light; vs master</t>
  </si>
  <si>
    <t>C6</t>
  </si>
  <si>
    <t>Đồng nhất màu giữa các lô (Lot-to-lot)</t>
  </si>
  <si>
    <t>Màu nhất quán so lô trước &amp; mẫu chuẩn
Color consistent vs prev lot &amp; master</t>
  </si>
  <si>
    <t>Đối chiếu mẫu lưu lô trước
Compare retained sample of prev lot</t>
  </si>
  <si>
    <t>D · CHỨC NĂNG / FUNCTION</t>
  </si>
  <si>
    <t>D1</t>
  </si>
  <si>
    <t>Độ bám mực — Tape test (Adhesion)</t>
  </si>
  <si>
    <t>Dán &amp; bóc băng keo 3M: mực không bong
Apply &amp; peel 3M tape: ink no peel-off</t>
  </si>
  <si>
    <t>Băng keo chuẩn, bóc 1 lần dứt khoát
Standard tape, single sharp peel</t>
  </si>
  <si>
    <t>Mẫu đầu 3–5pc + định kỳ/ca (phá hủy)
First article + periodic (destructive)</t>
  </si>
  <si>
    <t>Theo spec khách
Per customer spec</t>
  </si>
  <si>
    <t>D2</t>
  </si>
  <si>
    <t>Cross-cut — rạch ô bàn cờ</t>
  </si>
  <si>
    <t>ISO 2409 ≤ Class 1 / ASTM D3359 ≥ 4B
ISO 2409 ≤ Class 1 / ASTM D3359 ≥ 4B</t>
  </si>
  <si>
    <t>Dao rạch ô + băng keo, bóc &amp; soi
Cross-hatch cutter + tape, peel &amp; inspect</t>
  </si>
  <si>
    <t>D3</t>
  </si>
  <si>
    <t>Mài mòn cồn (Alcohol/IPA rub)</t>
  </si>
  <si>
    <t>Chà cồn theo spec (vd 50 lần, tải 500g): chữ/mực không mờ, mất
IPA rub per spec (e.g. 50 strokes/500g): no fade/loss</t>
  </si>
  <si>
    <t>Máy/bút chà + bông tẩm cồn
Rub tester/pen + alcohol cotton</t>
  </si>
  <si>
    <t>D4</t>
  </si>
  <si>
    <t>Mài mòn / chà xước (Rub/RCA)</t>
  </si>
  <si>
    <t>Đạt số chu kỳ spec, không mòn lớp in
Pass spec cycles, no print wear</t>
  </si>
  <si>
    <t>RCA tester / eraser test
RCA tester / eraser test</t>
  </si>
  <si>
    <t>D5</t>
  </si>
  <si>
    <t>Đọc mã vạch (Barcode/QR)</t>
  </si>
  <si>
    <t>Quét đạt cấp ≥ spec (ISO 15415/16); đúng nội dung &amp; seri, không trùng
Scan grade ≥ spec (ISO 15415/16); correct content/serial, no dup</t>
  </si>
  <si>
    <t>Máy quét/verifier
Scanner/verifier</t>
  </si>
  <si>
    <t>Lỗi lặp — trùng seri
Recurring — dup serial</t>
  </si>
  <si>
    <t>D6</t>
  </si>
  <si>
    <t>Độ bám keo dán (Adhesive/Peel)</t>
  </si>
  <si>
    <t>Dán lên bề mặt chuẩn: không bong mép, đủ lực bóc
Apply to standard surface: no edge lift, adequate peel</t>
  </si>
  <si>
    <t>Dán thử + lực kế (nếu spec)
Apply test + force gauge (if spec)</t>
  </si>
  <si>
    <t>Nhãn có keo
Adhesive labels</t>
  </si>
  <si>
    <t>TỔNG HỢP &amp; KẾT LUẬN / SUMMARY &amp; VERDICT</t>
  </si>
  <si>
    <t>Tổng hạng mục / Total:</t>
  </si>
  <si>
    <t>Đã kiểm / Checked:</t>
  </si>
  <si>
    <t>OK:</t>
  </si>
  <si>
    <t>NG:</t>
  </si>
  <si>
    <t>N/A:</t>
  </si>
  <si>
    <t>NG trọng yếu ◆ / Critical NG:</t>
  </si>
  <si>
    <t>Hoàn thành / Completion:</t>
  </si>
  <si>
    <t>KẾT LUẬN / VERDICT:</t>
  </si>
  <si>
    <t>Vận hành viên / Operator</t>
  </si>
  <si>
    <t>IPQC kiểm / Inspector</t>
  </si>
  <si>
    <t>Leader / Line Leader</t>
  </si>
  <si>
    <t>(Ký, ghi rõ họ tên / Sign &amp; full name)</t>
  </si>
  <si>
    <t>DÒNG IN LỤA / SILK</t>
  </si>
  <si>
    <t>CHECKLIST IPQC THEO NHÓM ĐẶC TÍNH (VN/EN) · Silkscreen S1–S11</t>
  </si>
  <si>
    <t>Đúng nội dung in (Print content: text/logo/code)</t>
  </si>
  <si>
    <t>Nội dung, ký tự, logo, mã ĐÚNG so spec/mẫu chuẩn
Content, characters, logo, code CORRECT vs spec/master</t>
  </si>
  <si>
    <t>Soi mắt + đối chiếu mẫu/spec; kính lúp
Visual + master/spec; loupe</t>
  </si>
  <si>
    <t>Nội dung biến đổi
Variable data</t>
  </si>
  <si>
    <t>Bẩn / bụi / đốm / chấm (Dirty/Dust/Smear/Dot)</t>
  </si>
  <si>
    <t>Không vết bẩn, bụi, đốm, chấm mực
No dirt, dust, smear, dots</t>
  </si>
  <si>
    <t>Top1 — 73% NG (áp đảo)
Top1 — 73% NG (dominant)</t>
  </si>
  <si>
    <t>Mất nét ký tự / Incomplete</t>
  </si>
  <si>
    <t>In đủ nét, đủ lớp, không mất nét chữ
Full sharp print, all layers, no missing strokes</t>
  </si>
  <si>
    <t>Lỗi lặp — khuôn/NL bẩn
Recurring — dirty screen/material</t>
  </si>
  <si>
    <t>Lệch (Mis-register)</t>
  </si>
  <si>
    <t>Chồng lớp/màu khít so mẫu
Layers/colors registered vs master</t>
  </si>
  <si>
    <t>8,7% NG</t>
  </si>
  <si>
    <t>Không đều / chỗ mỏng-dày (Uneven)</t>
  </si>
  <si>
    <t>Lớp mực đều, không chỗ mỏng/dày
Even ink, no thin/thick spots</t>
  </si>
  <si>
    <t>Xước (Scratch)</t>
  </si>
  <si>
    <t>Không vết xước bề mặt in
No scratch on print</t>
  </si>
  <si>
    <t>Soi mắt + đèn
Visual + light</t>
  </si>
  <si>
    <t>Bong mực (Peel-off ink)</t>
  </si>
  <si>
    <t>Mực bám chắc, không bong
Ink adhered, no peel</t>
  </si>
  <si>
    <t>Soi mắt + sờ
Visual + touch</t>
  </si>
  <si>
    <t>Lỗ pin / chấm do thủng khuôn (Pinhole)</t>
  </si>
  <si>
    <t>Không chấm, lỗ do thủng khuôn
No dot/pinhole from screen puncture</t>
  </si>
  <si>
    <t>Lỗi lặp — thủng khuôn
Recurring — screen puncture</t>
  </si>
  <si>
    <t>Hiện hình / vệt (Ghost/Streak)</t>
  </si>
  <si>
    <t>Không vệt, bóng hình lạ trên SP
No ghost/stray image</t>
  </si>
  <si>
    <t>Lỗi lặp — lớp matte
Recurring — matte layer</t>
  </si>
  <si>
    <t>Lõm (Dent)</t>
  </si>
  <si>
    <t>Không lõm trên bề mặt
No dent</t>
  </si>
  <si>
    <t>Bavia / cắt sâu mép (Burr/Full-cut)</t>
  </si>
  <si>
    <t>Mép sạch, không bavia, không cắt sâu
Clean edge, no burr, no over-cut</t>
  </si>
  <si>
    <t>Kích thước &amp; vị trí in (Size/Position)</t>
  </si>
  <si>
    <t>Đúng vị trí, trong dung sai spec
Correct position, within spec tol.</t>
  </si>
  <si>
    <t>Thước cặp + đối chiếu layout
Caliper + layout compare</t>
  </si>
  <si>
    <t>Độ dày / độ phủ lớp in (Film/Coverage)</t>
  </si>
  <si>
    <t>Đủ độ dày/độ chắn sáng (mực đèn) theo spec
Sufficient film/opacity (luminous) per spec</t>
  </si>
  <si>
    <t>Soi sáng xuyên / đo (nếu spec)
Transmitted-light / measure (if spec)</t>
  </si>
  <si>
    <t>Lỗi lặp — mực đèn lọt sáng
Recurring — luminous light-leak</t>
  </si>
  <si>
    <t>Vị trí ký tự / khoảng cách (Char position)</t>
  </si>
  <si>
    <t>Ký tự đúng vị trí, đúng khoảng cách spec
Characters correct position &amp; spacing per spec</t>
  </si>
  <si>
    <t>Thước + kính lúp; đối chiếu
Ruler + loupe; compare</t>
  </si>
  <si>
    <t>Số lớp in / thứ tự lớp (Layers/Sequence)</t>
  </si>
  <si>
    <t>Đủ số lớp &amp; đúng thứ tự in theo spec
All layers &amp; correct print sequence per spec</t>
  </si>
  <si>
    <t>Đối chiếu spec + đếm lớp
vs spec + count layers</t>
  </si>
  <si>
    <t>Đạt giới hạn màu; ΔE ≤ spec
Within color limits; ΔE ≤ spec</t>
  </si>
  <si>
    <t>Soi đèn chuẩn + máy đo màu (nếu có)
Standard light + colorimeter (if any)</t>
  </si>
  <si>
    <t>Lỗi lặp — mã mực sai
Recurring — wrong ink code</t>
  </si>
  <si>
    <t>Độ sáng mực đèn / huỳnh quang (Luminous)</t>
  </si>
  <si>
    <t>Mực đèn đủ sáng, đều, không lọt sáng
Luminous ink bright, even, no light-leak</t>
  </si>
  <si>
    <t>Soi trong buồng tối / đèn UV
View in darkroom / UV light</t>
  </si>
  <si>
    <t>Lỗi lặp — mực đèn
Recurring — luminous ink</t>
  </si>
  <si>
    <t>Đồng đều màu (Uniformity)</t>
  </si>
  <si>
    <t>Màu đều toàn SP &amp; giữa các con
Color even across part &amp; between pcs</t>
  </si>
  <si>
    <t>Độ bóng / mờ (Gloss/Matte finish)</t>
  </si>
  <si>
    <t>Dán &amp; bóc băng keo: mực không bong
Apply &amp; peel tape: ink no peel</t>
  </si>
  <si>
    <t>Băng keo chuẩn, bóc 1 lần
Standard tape, single peel</t>
  </si>
  <si>
    <t>Dao rạch ô + băng keo
Cross-hatch cutter + tape</t>
  </si>
  <si>
    <t>Chà cồn theo spec (vd 50–100 lần): ký tự/mực không mờ, mất
IPA rub per spec (e.g. 50–100): no fade/loss of text/ink</t>
  </si>
  <si>
    <t>Quan trọng cho in lụa ký tự
Key for silk text</t>
  </si>
  <si>
    <t>Đạt số chu kỳ spec, lớp in không mòn
Pass spec cycles, no print wear</t>
  </si>
  <si>
    <t>RCA / eraser test
RCA / eraser test</t>
  </si>
  <si>
    <t>Đọc mã vạch (Barcode, nếu có)</t>
  </si>
  <si>
    <t>Quét đạt cấp ≥ spec, đúng nội dung
Scan grade ≥ spec, correct content</t>
  </si>
  <si>
    <t>DÒNG DẬP + CNC / PRESS-CNC</t>
  </si>
  <si>
    <t>CHECKLIST IPQC THEO NHÓM ĐẶC TÍNH (VN/EN) · Press · CNC · Laser</t>
  </si>
  <si>
    <t>Gãy / nứt (Crack)</t>
  </si>
  <si>
    <t>Không gãy, nứt trên sản phẩm
No crack/fracture</t>
  </si>
  <si>
    <t>Soi mắt + uốn/soi nhẹ
Visual + gentle flex</t>
  </si>
  <si>
    <t>Top1 — 16% NG</t>
  </si>
  <si>
    <t>Sứt mẻ (Dent/Chip)</t>
  </si>
  <si>
    <t>Không sứt, mẻ cạnh/bề mặt
No chip/nick on edge/surface</t>
  </si>
  <si>
    <t>Soi mắt + sờ cạnh
Visual + feel edge</t>
  </si>
  <si>
    <t>13% NG</t>
  </si>
  <si>
    <t>Lồi lõm (Convex/Concave)</t>
  </si>
  <si>
    <t>Bề mặt phẳng đều, không lồi lõm
Flat even surface, no convex/concave</t>
  </si>
  <si>
    <t>Soi mắt nghiêng + thước thẳng
Raking-light + straightedge</t>
  </si>
  <si>
    <t>Bavia (Burr)</t>
  </si>
  <si>
    <t>Cạnh cắt sạch, không bavia
Clean cut edge, no burr</t>
  </si>
  <si>
    <t>11% NG</t>
  </si>
  <si>
    <t>Sơ, dắt mép (Fray/Burr)</t>
  </si>
  <si>
    <t>Không sơ, dắt mép cắt
No fray/whisker at cut edge</t>
  </si>
  <si>
    <t>Soi mắt + kính lúp
Visual + loupe</t>
  </si>
  <si>
    <t>Vỡ sơn / nứt sơn (Paint crack)</t>
  </si>
  <si>
    <t>Lớp sơn/in không vỡ, nứt
Paint/print no crack</t>
  </si>
  <si>
    <t>Soi mắt + uốn nhẹ
Visual + gentle flex</t>
  </si>
  <si>
    <t>7% NG — lỗi nhầm hàng
7% NG — mix-up</t>
  </si>
  <si>
    <t>Trầy xước (Scratch)</t>
  </si>
  <si>
    <t>Không vết trầy trên bề mặt
No scratch on surface</t>
  </si>
  <si>
    <t>5% NG</t>
  </si>
  <si>
    <t>Dập lệch / sai vị trí dập (Deviation)</t>
  </si>
  <si>
    <t>Vị trí dập đúng, không lệch
Correct press position, no deviation</t>
  </si>
  <si>
    <t>Soi mắt + đối chiếu dưỡng
Visual + vs gauge</t>
  </si>
  <si>
    <t>3% NG</t>
  </si>
  <si>
    <t>Loang / bẩn bề mặt (Dirty)</t>
  </si>
  <si>
    <t>Bề mặt sạch, không loang, bẩn
Clean surface, no stain/dirt</t>
  </si>
  <si>
    <t>Soi mắt dưới đèn
Visual under light</t>
  </si>
  <si>
    <t>Dính dầu (Oil stain)</t>
  </si>
  <si>
    <t>Bề mặt sạch, không dính dầu
Clean surface, no oil</t>
  </si>
  <si>
    <t>Soi mắt + lau thử
Visual + wipe test</t>
  </si>
  <si>
    <t>Đúng nội dung khắc/in (Engraved/printed content)</t>
  </si>
  <si>
    <t>Nội dung khắc/in ĐÚNG so spec/mẫu (nếu có)
Engraved/printed content CORRECT vs spec/master (if any)</t>
  </si>
  <si>
    <t>Soi mắt + đối chiếu mẫu/spec
Visual + vs master/spec</t>
  </si>
  <si>
    <t>Nếu có in/khắc
If printed/engraved</t>
  </si>
  <si>
    <t>NG keo / tràn keo (Glue NG)</t>
  </si>
  <si>
    <t>Keo đúng vị trí/lượng, không tràn
Glue correct position/amount, no overflow</t>
  </si>
  <si>
    <t>Kích thước tổng thể (Overall dim.)</t>
  </si>
  <si>
    <t>Trong dung sai bản vẽ; đo TRƯỚC khi gấp/bóng kính
Within drawing tol.; measure BEFORE folding/lamination</t>
  </si>
  <si>
    <t>Thước cặp / CMM
Caliper / CMM</t>
  </si>
  <si>
    <t>Lỗi lặp — dao biến dạng
Recurring — deformed die</t>
  </si>
  <si>
    <t>Vị trí dập / cắt (Press/Cut position)</t>
  </si>
  <si>
    <t>Đúng vị trí so dưỡng/bản vẽ
Correct position vs gauge/drawing</t>
  </si>
  <si>
    <t>Đối chiếu dưỡng + thước
vs gauge + ruler</t>
  </si>
  <si>
    <t>Độ sâu cắt / lớp lót (Cut depth/Liner)</t>
  </si>
  <si>
    <t>Không cắt sâu vào lõi, không rách lớp lót
No over-cut into core, no liner tear</t>
  </si>
  <si>
    <t>Tách &amp; soi lớp lót; đo
Peel &amp; inspect liner; measure</t>
  </si>
  <si>
    <t>Lỗi lặp — lõi cắt sâu
Recurring — over-cut core</t>
  </si>
  <si>
    <t>Góc / biên dạng (Angle/Profile)</t>
  </si>
  <si>
    <t>Đúng hình dao/khuôn, đúng góc
Correct die shape &amp; angle</t>
  </si>
  <si>
    <t>Đối chiếu dưỡng/mẫu
vs gauge/master</t>
  </si>
  <si>
    <t>Vị trí / đường kính lỗ (Hole pos./dia.)</t>
  </si>
  <si>
    <t>Lỗ đúng vị trí &amp; đường kính spec
Holes correct position &amp; diameter per spec</t>
  </si>
  <si>
    <t>Thước cặp / pin gauge; đối chiếu
Caliper / pin gauge; compare</t>
  </si>
  <si>
    <t>Độ phẳng / cong vênh (Flatness/Warp)</t>
  </si>
  <si>
    <t>Sản phẩm phẳng, không cong vênh quá dung sai
Flat part, warp within tolerance</t>
  </si>
  <si>
    <t>Thước thẳng / feeler; đặt mặt phẳng
Straightedge / feeler on flat plate</t>
  </si>
  <si>
    <t>Màu sơn/in so mẫu (Color vs master)</t>
  </si>
  <si>
    <t>Đạt giới hạn màu so mẫu chuẩn
Within color limits vs master</t>
  </si>
  <si>
    <t>Soi đèn chuẩn + máy đo (nếu có)
Standard light + meter (if any)</t>
  </si>
  <si>
    <t>Nếu có sơn/in
If painted/printed</t>
  </si>
  <si>
    <t>Đồng đều bề mặt sơn (Uniformity)</t>
  </si>
  <si>
    <t>Lớp sơn đều, không loang/khác sắc
Even paint, no mottle/shade diff</t>
  </si>
  <si>
    <t>Nếu có sơn
If painted</t>
  </si>
  <si>
    <t>Độ bóng / mờ lớp phủ (Gloss/Matte)</t>
  </si>
  <si>
    <t>Nếu có sơn/phủ
If painted/coated</t>
  </si>
  <si>
    <t>Đúng màu nền / mạ (Plating/base color)</t>
  </si>
  <si>
    <t>Màu nền/mạ kim loại đúng spec, đều
Base/plating color per spec, even</t>
  </si>
  <si>
    <t>Soi mắt + đối chiếu mẫu
Visual + vs master</t>
  </si>
  <si>
    <t>Chi tiết kim loại
Metal part</t>
  </si>
  <si>
    <t>Độ bám sơn/mực — Cross-cut (Adhesion)</t>
  </si>
  <si>
    <t>Chà cồn theo spec: lớp sơn/in không mờ, mất
IPA rub per spec: paint/print no fade/loss</t>
  </si>
  <si>
    <t>Lắp ghép / đóng mở (Fit/Assembly)</t>
  </si>
  <si>
    <t>Lắp khít, đóng mở/đúng chức năng theo spec
Fits, opens/closes/functions per spec</t>
  </si>
  <si>
    <t>Lắp thử với mẫu đối ứng
Trial-fit with mating sample</t>
  </si>
  <si>
    <t>Chức năng cơ khí
Mechanical function</t>
  </si>
  <si>
    <t>Độ bám / lực bóc keo (Peel, nếu có keo)</t>
  </si>
  <si>
    <t>Bám chắc, đủ lực bóc theo spec
Adhered, adequate peel force per spec</t>
  </si>
  <si>
    <t>Nếu có keo
If adhesive</t>
  </si>
  <si>
    <t>Chức năng cơ khí khác (Bend/Snap…)</t>
  </si>
  <si>
    <t>Đạt theo yêu cầu spec (uốn, gập, snap…)
Pass spec requirement (bend, fold, snap…)</t>
  </si>
  <si>
    <t>Test theo spec sản phẩm
Test per product spec</t>
  </si>
  <si>
    <t>Theo spec
Per spec</t>
  </si>
  <si>
    <t>TẦN SUẤT &amp; CỠ MẪU — AQL ISO 2859-1 / SAMPLING (Single, Normal, Level II)</t>
  </si>
  <si>
    <t>FAI/FPI = 100% mẫu đầu (3–5pc) / first article. Bảng = lấy mẫu in-process. Ac=accept, Re=reject. ◆→0,65 ●→1,5 ○→4,0.</t>
  </si>
  <si>
    <t>BẢNG TRA CỠ MẪU &amp; Ac/Re / MASTER TABLE (↓ dùng lô lớn hơn · ↑ lô nhỏ hơn)</t>
  </si>
  <si>
    <t>Cỡ lô / Lot size</t>
  </si>
  <si>
    <t>Mã/Code</t>
  </si>
  <si>
    <t>Cỡ mẫu n</t>
  </si>
  <si>
    <t>AQL 0,65 ◆</t>
  </si>
  <si>
    <t>AQL 1,0</t>
  </si>
  <si>
    <t>AQL 1,5 ●</t>
  </si>
  <si>
    <t>AQL 2,5</t>
  </si>
  <si>
    <t>AQL 4,0 ○</t>
  </si>
  <si>
    <t>2–8</t>
  </si>
  <si>
    <t>A</t>
  </si>
  <si>
    <t>↓</t>
  </si>
  <si>
    <t>9–15</t>
  </si>
  <si>
    <t>B</t>
  </si>
  <si>
    <t>16–25</t>
  </si>
  <si>
    <t>C</t>
  </si>
  <si>
    <t>26–50</t>
  </si>
  <si>
    <t>D</t>
  </si>
  <si>
    <t>0 / 1</t>
  </si>
  <si>
    <t>51–90</t>
  </si>
  <si>
    <t>E</t>
  </si>
  <si>
    <t>1 / 2</t>
  </si>
  <si>
    <t>91–150</t>
  </si>
  <si>
    <t>F</t>
  </si>
  <si>
    <t>2 / 3</t>
  </si>
  <si>
    <t>151–280</t>
  </si>
  <si>
    <t>G</t>
  </si>
  <si>
    <t>3 / 4</t>
  </si>
  <si>
    <t>281–500</t>
  </si>
  <si>
    <t>H</t>
  </si>
  <si>
    <t>5 / 6</t>
  </si>
  <si>
    <t>501–1200</t>
  </si>
  <si>
    <t>J</t>
  </si>
  <si>
    <t>7 / 8</t>
  </si>
  <si>
    <t>1201–3200</t>
  </si>
  <si>
    <t>K</t>
  </si>
  <si>
    <t>10 / 11</t>
  </si>
  <si>
    <t>3201–10000</t>
  </si>
  <si>
    <t>L</t>
  </si>
  <si>
    <t>14 / 15</t>
  </si>
  <si>
    <t>10001–35000</t>
  </si>
  <si>
    <t>M</t>
  </si>
  <si>
    <t>21 / 22</t>
  </si>
  <si>
    <t>35001–150000</t>
  </si>
  <si>
    <t>N</t>
  </si>
  <si>
    <t>↑</t>
  </si>
  <si>
    <t>150001–500000</t>
  </si>
  <si>
    <t>P</t>
  </si>
  <si>
    <t>≥ 500001</t>
  </si>
  <si>
    <t>Q</t>
  </si>
  <si>
    <t>CÔNG CỤ TRA NHANH / QUICK LOOKUP — nhập cỡ lô ô vàng / enter lot size</t>
  </si>
  <si>
    <t>Cỡ lô / Lot size:</t>
  </si>
  <si>
    <t>Mã chữ / Code:</t>
  </si>
  <si>
    <t>Cỡ mẫu n / Sample:</t>
  </si>
  <si>
    <t>◆ Critical (AQL 0,65):</t>
  </si>
  <si>
    <t>● Major (AQL 1,5):</t>
  </si>
  <si>
    <t>○ Minor (AQL 4,0):</t>
  </si>
  <si>
    <t>Quy tắc / Rule: lỗi ≤ Ac → NHẬN / accept lot; ≥ Re → LOẠI / reject. ↓/↑ = chuyển plan cỡ lô liền kề.</t>
  </si>
  <si>
    <t>Test chức năng (D) phá hủy → mẫu nhỏ theo spec / Functional (D) destructive → small sample per spec.</t>
  </si>
  <si>
    <t>ISO 2859-1 / ANSI Z1.4 — Single sampling, Normal, General Inspection Level II.</t>
  </si>
  <si>
    <t>30030532/50/(LU29) / lukitape #. 1407V1 (245mm x 50M)</t>
  </si>
  <si>
    <t>30031701-0228/250/(SDT (EA)#1R(K241221)) 228mm x 1000M</t>
  </si>
  <si>
    <t>30031145/80/(BƯ488) / BƯ-0112N (215mm x 1000M)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</si>
</sst>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10"/>
      <color rgb="FFFFFFFF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sz val="9"/>
      <color rgb="FF7F7F7F"/>
      <name val="Arial"/>
      <family val="2"/>
    </font>
    <font>
      <b/>
      <sz val="9.5"/>
      <color rgb="FF000000"/>
      <name val="Arial"/>
      <family val="2"/>
    </font>
    <font>
      <sz val="9.5"/>
      <color rgb="FF000000"/>
      <name val="Arial"/>
      <family val="2"/>
    </font>
    <font>
      <sz val="10"/>
      <color rgb="FF9C0006"/>
      <name val="Arial"/>
      <family val="2"/>
    </font>
    <font>
      <sz val="10"/>
      <color rgb="FFBF8F00"/>
      <name val="Arial"/>
      <family val="2"/>
    </font>
    <font>
      <sz val="10"/>
      <color rgb="FF808080"/>
      <name val="Arial"/>
      <family val="2"/>
    </font>
    <font>
      <sz val="9"/>
      <color rgb="FF808080"/>
      <name val="Arial"/>
      <family val="2"/>
    </font>
    <font>
      <i/>
      <sz val="9.5"/>
      <color rgb="FFFFFFFF"/>
      <name val="Arial"/>
      <family val="2"/>
    </font>
    <font>
      <b/>
      <sz val="9"/>
      <color rgb="FF000000"/>
      <name val="Arial"/>
      <family val="2"/>
    </font>
    <font>
      <b/>
      <sz val="9.5"/>
      <color rgb="FFFFFFFF"/>
      <name val="Arial"/>
      <family val="2"/>
    </font>
    <font>
      <b/>
      <sz val="10.5"/>
      <color rgb="FF1F3864"/>
      <name val="Arial"/>
      <family val="2"/>
    </font>
    <font>
      <sz val="9"/>
      <color rgb="FF404040"/>
      <name val="Arial"/>
      <family val="2"/>
    </font>
    <font>
      <i/>
      <sz val="9"/>
      <color rgb="FF404040"/>
      <name val="Arial"/>
      <family val="2"/>
    </font>
    <font>
      <b/>
      <sz val="11"/>
      <color rgb="FF9C0006"/>
      <name val="Arial"/>
      <family val="2"/>
    </font>
    <font>
      <sz val="8"/>
      <color rgb="FF595959"/>
      <name val="Arial"/>
      <family val="2"/>
    </font>
    <font>
      <b/>
      <sz val="10"/>
      <color rgb="FF000000"/>
      <name val="Arial"/>
      <family val="2"/>
    </font>
    <font>
      <b/>
      <sz val="11"/>
      <color rgb="FFBF8F00"/>
      <name val="Arial"/>
      <family val="2"/>
    </font>
    <font>
      <b/>
      <sz val="11"/>
      <color rgb="FF808080"/>
      <name val="Arial"/>
      <family val="2"/>
    </font>
    <font>
      <b/>
      <sz val="12"/>
      <color rgb="FFFFFFFF"/>
      <name val="Arial"/>
      <family val="2"/>
    </font>
    <font>
      <b/>
      <sz val="12"/>
      <color rgb="FF000000"/>
      <name val="Arial"/>
      <family val="2"/>
    </font>
    <font>
      <i/>
      <sz val="8"/>
      <color rgb="FF808080"/>
      <name val="Arial"/>
      <family val="2"/>
    </font>
    <font>
      <b/>
      <sz val="13"/>
      <color rgb="FFFFFFFF"/>
      <name val="Arial"/>
      <family val="2"/>
    </font>
    <font>
      <i/>
      <sz val="9"/>
      <color rgb="FFFFFFFF"/>
      <name val="Arial"/>
      <family val="2"/>
    </font>
    <font>
      <b/>
      <sz val="11"/>
      <color rgb="FF1F3864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i/>
      <sz val="8.5"/>
      <color rgb="FF80808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496"/>
        <bgColor rgb="FF1F3864"/>
      </patternFill>
    </fill>
    <fill>
      <patternFill patternType="solid">
        <fgColor rgb="FFBDD7EE"/>
        <bgColor rgb="FFC6EFCE"/>
      </patternFill>
    </fill>
    <fill>
      <patternFill patternType="solid">
        <fgColor rgb="FFE2EFDA"/>
        <bgColor rgb="FFDEEBF7"/>
      </patternFill>
    </fill>
    <fill>
      <patternFill patternType="solid">
        <fgColor rgb="FFDEEBF7"/>
        <bgColor rgb="FFE2EFDA"/>
      </patternFill>
    </fill>
    <fill>
      <patternFill patternType="solid">
        <fgColor rgb="FFFCE4D6"/>
        <bgColor rgb="FFFDECEA"/>
      </patternFill>
    </fill>
    <fill>
      <patternFill patternType="solid">
        <fgColor rgb="FFFFF2CC"/>
        <bgColor rgb="FFFFF7E0"/>
      </patternFill>
    </fill>
    <fill>
      <patternFill patternType="solid">
        <fgColor rgb="FFFFFDE7"/>
        <bgColor rgb="FFFFF7E0"/>
      </patternFill>
    </fill>
    <fill>
      <patternFill patternType="solid">
        <fgColor rgb="FFF2F2F2"/>
        <bgColor rgb="FFEDF3FA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3" fillId="0" borderId="0" xfId="0" applyFont="1" applyAlignment="1">
      <alignment horizontal="right" vertical="center" wrapText="1"/>
    </xf>
    <xf numFmtId="0" fontId="7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13" fillId="0" borderId="0" xfId="0" applyFont="1"/>
    <xf numFmtId="0" fontId="0" fillId="9" borderId="1" xfId="0" applyFill="1" applyBorder="1"/>
    <xf numFmtId="0" fontId="14" fillId="3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 wrapText="1"/>
    </xf>
    <xf numFmtId="0" fontId="17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top" wrapText="1"/>
    </xf>
    <xf numFmtId="0" fontId="20" fillId="9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20" fillId="9" borderId="3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/>
    </xf>
    <xf numFmtId="0" fontId="20" fillId="0" borderId="2" xfId="0" applyFont="1" applyBorder="1" applyAlignment="1">
      <alignment horizontal="center" vertical="center" wrapText="1"/>
    </xf>
    <xf numFmtId="9" fontId="20" fillId="0" borderId="2" xfId="0" applyNumberFormat="1" applyFont="1" applyBorder="1" applyAlignment="1">
      <alignment horizontal="center" vertical="center" wrapText="1"/>
    </xf>
    <xf numFmtId="0" fontId="23" fillId="3" borderId="0" xfId="0" applyFont="1" applyFill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right" vertical="center" wrapText="1"/>
    </xf>
    <xf numFmtId="0" fontId="0" fillId="9" borderId="2" xfId="0" applyFill="1" applyBorder="1"/>
    <xf numFmtId="0" fontId="15" fillId="5" borderId="1" xfId="0" applyFont="1" applyFill="1" applyBorder="1" applyAlignment="1">
      <alignment horizontal="left" vertical="center" wrapText="1"/>
    </xf>
    <xf numFmtId="0" fontId="15" fillId="6" borderId="1" xfId="0" applyFont="1" applyFill="1" applyBorder="1" applyAlignment="1">
      <alignment horizontal="left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31" fillId="0" borderId="0" xfId="0" applyFont="1"/>
    <xf numFmtId="0" fontId="20" fillId="0" borderId="0" xfId="0" applyFont="1"/>
    <xf numFmtId="0" fontId="26" fillId="2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8" fillId="4" borderId="0" xfId="0" applyFont="1" applyFill="1"/>
  </cellXfs>
  <cellStyles count="1">
    <cellStyle name="Normal" xfId="0" builtinId="0"/>
  </cellStyles>
  <dxfs count="21">
    <dxf>
      <fill>
        <patternFill>
          <bgColor rgb="FFEDF3FA"/>
        </patternFill>
      </fill>
    </dxf>
    <dxf>
      <fill>
        <patternFill>
          <bgColor rgb="FFFFF7E0"/>
        </patternFill>
      </fill>
    </dxf>
    <dxf>
      <fill>
        <patternFill>
          <bgColor rgb="FFFDECEA"/>
        </patternFill>
      </fill>
    </dxf>
    <dxf>
      <font>
        <sz val="10"/>
        <color rgb="FF808080"/>
        <name val="Arial"/>
        <charset val="1"/>
      </font>
      <fill>
        <patternFill>
          <bgColor rgb="FFF2F2F2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2"/>
        <color rgb="FFBF8F00"/>
        <name val="Arial"/>
        <charset val="1"/>
      </font>
      <fill>
        <patternFill>
          <bgColor rgb="FFFCE4D6"/>
        </patternFill>
      </fill>
    </dxf>
    <dxf>
      <font>
        <b/>
        <sz val="12"/>
        <color rgb="FF006100"/>
        <name val="Arial"/>
        <charset val="1"/>
      </font>
      <fill>
        <patternFill>
          <bgColor rgb="FFC6EFCE"/>
        </patternFill>
      </fill>
    </dxf>
    <dxf>
      <font>
        <b/>
        <sz val="12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808080"/>
        <name val="Arial"/>
        <charset val="1"/>
      </font>
      <fill>
        <patternFill>
          <bgColor rgb="FFF2F2F2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2"/>
        <color rgb="FFBF8F00"/>
        <name val="Arial"/>
        <charset val="1"/>
      </font>
      <fill>
        <patternFill>
          <bgColor rgb="FFFCE4D6"/>
        </patternFill>
      </fill>
    </dxf>
    <dxf>
      <font>
        <b/>
        <sz val="12"/>
        <color rgb="FF006100"/>
        <name val="Arial"/>
        <charset val="1"/>
      </font>
      <fill>
        <patternFill>
          <bgColor rgb="FFC6EFCE"/>
        </patternFill>
      </fill>
    </dxf>
    <dxf>
      <font>
        <b/>
        <sz val="12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808080"/>
        <name val="Arial"/>
        <charset val="1"/>
      </font>
      <fill>
        <patternFill>
          <bgColor rgb="FFF2F2F2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2"/>
        <color rgb="FFBF8F00"/>
        <name val="Arial"/>
        <charset val="1"/>
      </font>
      <fill>
        <patternFill>
          <bgColor rgb="FFFCE4D6"/>
        </patternFill>
      </fill>
    </dxf>
    <dxf>
      <font>
        <b/>
        <sz val="12"/>
        <color rgb="FF006100"/>
        <name val="Arial"/>
        <charset val="1"/>
      </font>
      <fill>
        <patternFill>
          <bgColor rgb="FFC6EFCE"/>
        </patternFill>
      </fill>
    </dxf>
    <dxf>
      <font>
        <b/>
        <sz val="12"/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DE7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7E0"/>
      <rgbColor rgb="FFDEEBF7"/>
      <rgbColor rgb="FF660066"/>
      <rgbColor rgb="FFFF8080"/>
      <rgbColor rgb="FF0066CC"/>
      <rgbColor rgb="FFBDD7EE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DF3FA"/>
      <rgbColor rgb="FFC6EFCE"/>
      <rgbColor rgb="FFFFF2CC"/>
      <rgbColor rgb="FFE2EFDA"/>
      <rgbColor rgb="FFFCE4D6"/>
      <rgbColor rgb="FFFDECEA"/>
      <rgbColor rgb="FFFFC7CE"/>
      <rgbColor rgb="FF3366FF"/>
      <rgbColor rgb="FF33CCCC"/>
      <rgbColor rgb="FF99CC00"/>
      <rgbColor rgb="FFFFCC00"/>
      <rgbColor rgb="FFBF8F00"/>
      <rgbColor rgb="FFFF6600"/>
      <rgbColor rgb="FF595959"/>
      <rgbColor rgb="FF7F7F7F"/>
      <rgbColor rgb="FF1F3864"/>
      <rgbColor rgb="FF339966"/>
      <rgbColor rgb="FF003300"/>
      <rgbColor rgb="FF333300"/>
      <rgbColor rgb="FF993300"/>
      <rgbColor rgb="FF993366"/>
      <rgbColor rgb="FF2E5496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G29"/>
  <sheetViews>
    <sheetView showGridLines="0" topLeftCell="A16" zoomScale="182" zoomScaleNormal="100" workbookViewId="0"/>
  </sheetViews>
  <sheetFormatPr baseColWidth="10" defaultColWidth="8.6640625" defaultRowHeight="15" x14ac:dyDescent="0.2"/>
  <cols>
    <col min="1" max="1" width="3" customWidth="1"/>
    <col min="2" max="2" width="30" customWidth="1"/>
    <col min="3" max="3" width="24" customWidth="1"/>
    <col min="4" max="5" width="22" customWidth="1"/>
    <col min="6" max="6" width="27.6640625" customWidth="1"/>
  </cols>
  <sheetData>
    <row r="2" spans="2:7" ht="27.75" customHeight="1" x14ac:dyDescent="0.2">
      <c r="B2" s="39" t="s">
        <v>0</v>
      </c>
      <c r="C2" s="39"/>
      <c r="D2" s="39"/>
      <c r="E2" s="39"/>
      <c r="F2" s="39"/>
      <c r="G2" s="39"/>
    </row>
    <row r="3" spans="2:7" ht="15" customHeight="1" x14ac:dyDescent="0.2">
      <c r="B3" s="50" t="s">
        <v>1</v>
      </c>
      <c r="C3" s="50"/>
      <c r="D3" s="50"/>
      <c r="E3" s="50"/>
      <c r="F3" s="50"/>
      <c r="G3" s="50"/>
    </row>
    <row r="5" spans="2:7" ht="19.5" customHeight="1" x14ac:dyDescent="0.2">
      <c r="B5" s="42" t="s">
        <v>2</v>
      </c>
      <c r="C5" s="42"/>
      <c r="D5" s="42"/>
      <c r="E5" s="42"/>
      <c r="F5" s="42"/>
      <c r="G5" s="42"/>
    </row>
    <row r="6" spans="2:7" ht="15" customHeight="1" x14ac:dyDescent="0.2">
      <c r="B6" s="41" t="s">
        <v>3</v>
      </c>
      <c r="C6" s="41"/>
      <c r="D6" s="41"/>
      <c r="E6" s="41"/>
      <c r="F6" s="41"/>
      <c r="G6" s="41"/>
    </row>
    <row r="7" spans="2:7" ht="15" customHeight="1" x14ac:dyDescent="0.2">
      <c r="B7" s="49" t="s">
        <v>4</v>
      </c>
      <c r="C7" s="49"/>
      <c r="D7" s="49"/>
      <c r="E7" s="49"/>
      <c r="F7" s="49"/>
      <c r="G7" s="49"/>
    </row>
    <row r="8" spans="2:7" ht="15" customHeight="1" x14ac:dyDescent="0.2">
      <c r="B8" s="41" t="s">
        <v>5</v>
      </c>
      <c r="C8" s="41"/>
      <c r="D8" s="41"/>
      <c r="E8" s="41"/>
      <c r="F8" s="41"/>
      <c r="G8" s="41"/>
    </row>
    <row r="9" spans="2:7" ht="15" customHeight="1" x14ac:dyDescent="0.2">
      <c r="B9" s="49" t="s">
        <v>6</v>
      </c>
      <c r="C9" s="49"/>
      <c r="D9" s="49"/>
      <c r="E9" s="49"/>
      <c r="F9" s="49"/>
      <c r="G9" s="49"/>
    </row>
    <row r="10" spans="2:7" ht="15" customHeight="1" x14ac:dyDescent="0.2">
      <c r="B10" s="41" t="s">
        <v>7</v>
      </c>
      <c r="C10" s="41"/>
      <c r="D10" s="41"/>
      <c r="E10" s="41"/>
      <c r="F10" s="41"/>
      <c r="G10" s="41"/>
    </row>
    <row r="11" spans="2:7" ht="15" customHeight="1" x14ac:dyDescent="0.2">
      <c r="B11" s="49" t="s">
        <v>8</v>
      </c>
      <c r="C11" s="49"/>
      <c r="D11" s="49"/>
      <c r="E11" s="49"/>
      <c r="F11" s="49"/>
      <c r="G11" s="49"/>
    </row>
    <row r="13" spans="2:7" ht="19.5" customHeight="1" x14ac:dyDescent="0.2">
      <c r="B13" s="42" t="s">
        <v>9</v>
      </c>
      <c r="C13" s="42"/>
      <c r="D13" s="42"/>
      <c r="E13" s="42"/>
      <c r="F13" s="42"/>
      <c r="G13" s="42"/>
    </row>
    <row r="14" spans="2:7" ht="15.75" customHeight="1" x14ac:dyDescent="0.2">
      <c r="B14" s="3" t="s">
        <v>10</v>
      </c>
      <c r="C14" s="47" t="s">
        <v>11</v>
      </c>
      <c r="D14" s="47"/>
      <c r="E14" s="47"/>
      <c r="F14" s="3" t="s">
        <v>12</v>
      </c>
    </row>
    <row r="15" spans="2:7" ht="30" customHeight="1" x14ac:dyDescent="0.2">
      <c r="B15" s="4" t="s">
        <v>13</v>
      </c>
      <c r="C15" s="48" t="s">
        <v>14</v>
      </c>
      <c r="D15" s="48"/>
      <c r="E15" s="48"/>
      <c r="F15" s="2" t="s">
        <v>15</v>
      </c>
    </row>
    <row r="16" spans="2:7" ht="30" customHeight="1" x14ac:dyDescent="0.2">
      <c r="B16" s="5" t="s">
        <v>16</v>
      </c>
      <c r="C16" s="48" t="s">
        <v>17</v>
      </c>
      <c r="D16" s="48"/>
      <c r="E16" s="48"/>
      <c r="F16" s="2" t="s">
        <v>18</v>
      </c>
    </row>
    <row r="17" spans="2:7" ht="30" customHeight="1" x14ac:dyDescent="0.2">
      <c r="B17" s="6" t="s">
        <v>19</v>
      </c>
      <c r="C17" s="48" t="s">
        <v>20</v>
      </c>
      <c r="D17" s="48"/>
      <c r="E17" s="48"/>
      <c r="F17" s="2" t="s">
        <v>21</v>
      </c>
    </row>
    <row r="18" spans="2:7" ht="30" customHeight="1" x14ac:dyDescent="0.2">
      <c r="B18" s="7" t="s">
        <v>22</v>
      </c>
      <c r="C18" s="48" t="s">
        <v>23</v>
      </c>
      <c r="D18" s="48"/>
      <c r="E18" s="48"/>
      <c r="F18" s="2" t="s">
        <v>24</v>
      </c>
    </row>
    <row r="20" spans="2:7" ht="19.5" customHeight="1" x14ac:dyDescent="0.2">
      <c r="B20" s="42" t="s">
        <v>25</v>
      </c>
      <c r="C20" s="42"/>
      <c r="D20" s="42"/>
      <c r="E20" s="42"/>
      <c r="F20" s="42"/>
      <c r="G20" s="42"/>
    </row>
    <row r="21" spans="2:7" ht="15" customHeight="1" x14ac:dyDescent="0.2">
      <c r="B21" s="44" t="s">
        <v>26</v>
      </c>
      <c r="C21" s="44"/>
      <c r="D21" s="44"/>
      <c r="E21" s="44"/>
      <c r="F21" s="44"/>
      <c r="G21" s="44"/>
    </row>
    <row r="22" spans="2:7" ht="15" customHeight="1" x14ac:dyDescent="0.2">
      <c r="B22" s="45" t="s">
        <v>27</v>
      </c>
      <c r="C22" s="45"/>
      <c r="D22" s="45"/>
      <c r="E22" s="45"/>
      <c r="F22" s="45"/>
      <c r="G22" s="45"/>
    </row>
    <row r="23" spans="2:7" ht="15" customHeight="1" x14ac:dyDescent="0.2">
      <c r="B23" s="46" t="s">
        <v>28</v>
      </c>
      <c r="C23" s="46"/>
      <c r="D23" s="46"/>
      <c r="E23" s="46"/>
      <c r="F23" s="46"/>
      <c r="G23" s="46"/>
    </row>
    <row r="24" spans="2:7" ht="15" customHeight="1" x14ac:dyDescent="0.2">
      <c r="B24" s="41" t="s">
        <v>29</v>
      </c>
      <c r="C24" s="41"/>
      <c r="D24" s="41"/>
      <c r="E24" s="41"/>
      <c r="F24" s="41"/>
      <c r="G24" s="41"/>
    </row>
    <row r="25" spans="2:7" ht="15" customHeight="1" x14ac:dyDescent="0.2">
      <c r="B25" s="41" t="s">
        <v>30</v>
      </c>
      <c r="C25" s="41"/>
      <c r="D25" s="41"/>
      <c r="E25" s="41"/>
      <c r="F25" s="41"/>
      <c r="G25" s="41"/>
    </row>
    <row r="27" spans="2:7" ht="19.5" customHeight="1" x14ac:dyDescent="0.2">
      <c r="B27" s="42" t="s">
        <v>31</v>
      </c>
      <c r="C27" s="42"/>
      <c r="D27" s="42"/>
      <c r="E27" s="42"/>
      <c r="F27" s="42"/>
      <c r="G27" s="42"/>
    </row>
    <row r="28" spans="2:7" ht="15" customHeight="1" x14ac:dyDescent="0.2">
      <c r="B28" s="43" t="s">
        <v>32</v>
      </c>
      <c r="C28" s="43"/>
      <c r="D28" s="43"/>
      <c r="E28" s="43"/>
      <c r="F28" s="43"/>
      <c r="G28" s="43"/>
    </row>
    <row r="29" spans="2:7" ht="15" customHeight="1" x14ac:dyDescent="0.2">
      <c r="B29" s="43" t="s">
        <v>33</v>
      </c>
      <c r="C29" s="43"/>
      <c r="D29" s="43"/>
      <c r="E29" s="43"/>
      <c r="F29" s="43"/>
      <c r="G29" s="43"/>
    </row>
  </sheetData>
  <mergeCells count="24">
    <mergeCell ref="B2:G2"/>
    <mergeCell ref="B3:G3"/>
    <mergeCell ref="B5:G5"/>
    <mergeCell ref="B6:G6"/>
    <mergeCell ref="B7:G7"/>
    <mergeCell ref="B8:G8"/>
    <mergeCell ref="B9:G9"/>
    <mergeCell ref="B10:G10"/>
    <mergeCell ref="B11:G11"/>
    <mergeCell ref="B13:G13"/>
    <mergeCell ref="C14:E14"/>
    <mergeCell ref="C15:E15"/>
    <mergeCell ref="C16:E16"/>
    <mergeCell ref="C17:E17"/>
    <mergeCell ref="C18:E18"/>
    <mergeCell ref="B25:G25"/>
    <mergeCell ref="B27:G27"/>
    <mergeCell ref="B28:G28"/>
    <mergeCell ref="B29:G29"/>
    <mergeCell ref="B20:G20"/>
    <mergeCell ref="B21:G21"/>
    <mergeCell ref="B22:G22"/>
    <mergeCell ref="B23:G23"/>
    <mergeCell ref="B24:G24"/>
  </mergeCells>
  <pageMargins left="0.75" right="0.75" top="1" bottom="1" header="0.511811023622047" footer="0.511811023622047"/>
  <pageSetup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58"/>
  <sheetViews>
    <sheetView showGridLines="0" tabSelected="1" zoomScale="170" zoomScaleNormal="100" workbookViewId="0">
      <pane ySplit="6" topLeftCell="A7" activePane="bottomLeft" state="frozen"/>
      <selection pane="bottomLeft" activeCell="B14" sqref="B14"/>
    </sheetView>
  </sheetViews>
  <sheetFormatPr baseColWidth="10" defaultColWidth="8.6640625" defaultRowHeight="15" x14ac:dyDescent="0.2"/>
  <cols>
    <col min="1" max="1" width="5.5" customWidth="1"/>
    <col min="2" max="3" width="34" customWidth="1"/>
    <col min="4" max="4" width="32.33203125" customWidth="1"/>
    <col min="5" max="5" width="5.5" customWidth="1"/>
    <col min="6" max="6" width="26.6640625" customWidth="1"/>
    <col min="7" max="7" width="9" customWidth="1"/>
    <col min="8" max="8" width="22.5" customWidth="1"/>
    <col min="10" max="10" width="11.83203125" bestFit="1" customWidth="1"/>
  </cols>
  <sheetData>
    <row r="1" spans="1:8" ht="25.5" customHeight="1" x14ac:dyDescent="0.2">
      <c r="A1" s="39" t="s">
        <v>34</v>
      </c>
      <c r="B1" s="39"/>
      <c r="C1" s="39"/>
      <c r="D1" s="39"/>
      <c r="E1" s="39"/>
      <c r="F1" s="39"/>
      <c r="G1" s="39"/>
      <c r="H1" s="39"/>
    </row>
    <row r="2" spans="1:8" ht="15" customHeight="1" x14ac:dyDescent="0.2">
      <c r="A2" s="40" t="s">
        <v>35</v>
      </c>
      <c r="B2" s="40"/>
      <c r="C2" s="40"/>
      <c r="D2" s="40"/>
      <c r="E2" s="40"/>
      <c r="F2" s="40"/>
      <c r="G2" s="40"/>
      <c r="H2" s="40"/>
    </row>
    <row r="3" spans="1:8" ht="15" customHeight="1" x14ac:dyDescent="0.2">
      <c r="A3" s="8" t="s">
        <v>36</v>
      </c>
      <c r="B3" s="9"/>
      <c r="C3" s="1" t="s">
        <v>37</v>
      </c>
      <c r="D3" s="9"/>
      <c r="E3" s="34" t="s">
        <v>38</v>
      </c>
      <c r="F3" s="34"/>
      <c r="G3" s="35"/>
      <c r="H3" s="35"/>
    </row>
    <row r="4" spans="1:8" ht="15" customHeight="1" x14ac:dyDescent="0.2">
      <c r="A4" s="8" t="s">
        <v>39</v>
      </c>
      <c r="B4" s="9"/>
      <c r="C4" s="1" t="s">
        <v>40</v>
      </c>
      <c r="D4" s="9"/>
      <c r="E4" s="34" t="s">
        <v>41</v>
      </c>
      <c r="F4" s="34"/>
      <c r="G4" s="35"/>
      <c r="H4" s="35"/>
    </row>
    <row r="5" spans="1:8" ht="15" customHeight="1" x14ac:dyDescent="0.2">
      <c r="A5" s="8" t="s">
        <v>42</v>
      </c>
      <c r="B5" s="9"/>
      <c r="C5" s="1" t="s">
        <v>43</v>
      </c>
      <c r="D5" s="9"/>
      <c r="E5" s="34" t="s">
        <v>44</v>
      </c>
      <c r="F5" s="34"/>
      <c r="G5" s="35"/>
      <c r="H5" s="35"/>
    </row>
    <row r="6" spans="1:8" ht="25.5" customHeight="1" x14ac:dyDescent="0.2">
      <c r="A6" s="10" t="s">
        <v>45</v>
      </c>
      <c r="B6" s="10" t="s">
        <v>46</v>
      </c>
      <c r="C6" s="10" t="s">
        <v>47</v>
      </c>
      <c r="D6" s="10" t="s">
        <v>48</v>
      </c>
      <c r="E6" s="10" t="s">
        <v>49</v>
      </c>
      <c r="F6" s="10" t="s">
        <v>50</v>
      </c>
      <c r="G6" s="10" t="s">
        <v>51</v>
      </c>
      <c r="H6" s="10" t="s">
        <v>52</v>
      </c>
    </row>
    <row r="7" spans="1:8" ht="18" customHeight="1" x14ac:dyDescent="0.2">
      <c r="A7" s="36" t="s">
        <v>53</v>
      </c>
      <c r="B7" s="36"/>
      <c r="C7" s="36"/>
      <c r="D7" s="36"/>
      <c r="E7" s="36"/>
      <c r="F7" s="36"/>
      <c r="G7" s="36"/>
      <c r="H7" s="36"/>
    </row>
    <row r="8" spans="1:8" ht="52" x14ac:dyDescent="0.2">
      <c r="A8" s="11" t="s">
        <v>54</v>
      </c>
      <c r="B8" s="12" t="s">
        <v>55</v>
      </c>
      <c r="C8" s="13" t="s">
        <v>56</v>
      </c>
      <c r="D8" s="14" t="s">
        <v>57</v>
      </c>
      <c r="E8" s="15" t="s">
        <v>58</v>
      </c>
      <c r="F8" s="16" t="s">
        <v>59</v>
      </c>
      <c r="G8" s="17"/>
      <c r="H8" s="16" t="s">
        <v>60</v>
      </c>
    </row>
    <row r="9" spans="1:8" ht="31" customHeight="1" x14ac:dyDescent="0.2">
      <c r="A9" s="11" t="s">
        <v>61</v>
      </c>
      <c r="B9" s="12" t="s">
        <v>62</v>
      </c>
      <c r="C9" s="13" t="s">
        <v>63</v>
      </c>
      <c r="D9" s="14" t="s">
        <v>64</v>
      </c>
      <c r="E9" s="15" t="s">
        <v>58</v>
      </c>
      <c r="F9" s="16" t="s">
        <v>59</v>
      </c>
      <c r="G9" s="17"/>
      <c r="H9" s="16" t="s">
        <v>65</v>
      </c>
    </row>
    <row r="10" spans="1:8" ht="26" x14ac:dyDescent="0.2">
      <c r="A10" s="11" t="s">
        <v>66</v>
      </c>
      <c r="B10" s="12" t="s">
        <v>67</v>
      </c>
      <c r="C10" s="13" t="s">
        <v>68</v>
      </c>
      <c r="D10" s="14" t="s">
        <v>69</v>
      </c>
      <c r="E10" s="15" t="s">
        <v>58</v>
      </c>
      <c r="F10" s="16" t="s">
        <v>59</v>
      </c>
      <c r="G10" s="17"/>
      <c r="H10" s="16" t="s">
        <v>70</v>
      </c>
    </row>
    <row r="11" spans="1:8" ht="26" x14ac:dyDescent="0.2">
      <c r="A11" s="11" t="s">
        <v>71</v>
      </c>
      <c r="B11" s="12" t="s">
        <v>72</v>
      </c>
      <c r="C11" s="13" t="s">
        <v>73</v>
      </c>
      <c r="D11" s="14" t="s">
        <v>74</v>
      </c>
      <c r="E11" s="18" t="s">
        <v>75</v>
      </c>
      <c r="F11" s="16" t="s">
        <v>76</v>
      </c>
      <c r="G11" s="17"/>
      <c r="H11" s="16" t="s">
        <v>77</v>
      </c>
    </row>
    <row r="12" spans="1:8" ht="26" x14ac:dyDescent="0.2">
      <c r="A12" s="11" t="s">
        <v>78</v>
      </c>
      <c r="B12" s="12" t="s">
        <v>79</v>
      </c>
      <c r="C12" s="13" t="s">
        <v>80</v>
      </c>
      <c r="D12" s="14" t="s">
        <v>81</v>
      </c>
      <c r="E12" s="18" t="s">
        <v>75</v>
      </c>
      <c r="F12" s="16" t="s">
        <v>76</v>
      </c>
      <c r="G12" s="17"/>
      <c r="H12" s="16" t="s">
        <v>82</v>
      </c>
    </row>
    <row r="13" spans="1:8" ht="26" x14ac:dyDescent="0.2">
      <c r="A13" s="11" t="s">
        <v>83</v>
      </c>
      <c r="B13" s="12" t="s">
        <v>84</v>
      </c>
      <c r="C13" s="13" t="s">
        <v>85</v>
      </c>
      <c r="D13" s="14" t="s">
        <v>86</v>
      </c>
      <c r="E13" s="18" t="s">
        <v>75</v>
      </c>
      <c r="F13" s="16" t="s">
        <v>76</v>
      </c>
      <c r="G13" s="17"/>
      <c r="H13" s="16" t="s">
        <v>87</v>
      </c>
    </row>
    <row r="14" spans="1:8" ht="26" x14ac:dyDescent="0.2">
      <c r="A14" s="11" t="s">
        <v>88</v>
      </c>
      <c r="B14" s="12" t="s">
        <v>89</v>
      </c>
      <c r="C14" s="13" t="s">
        <v>90</v>
      </c>
      <c r="D14" s="14" t="s">
        <v>91</v>
      </c>
      <c r="E14" s="18" t="s">
        <v>75</v>
      </c>
      <c r="F14" s="16" t="s">
        <v>76</v>
      </c>
      <c r="G14" s="17"/>
      <c r="H14" s="16" t="s">
        <v>77</v>
      </c>
    </row>
    <row r="15" spans="1:8" ht="30" customHeight="1" x14ac:dyDescent="0.2">
      <c r="A15" s="11" t="s">
        <v>92</v>
      </c>
      <c r="B15" s="12" t="s">
        <v>93</v>
      </c>
      <c r="C15" s="13" t="s">
        <v>94</v>
      </c>
      <c r="D15" s="14" t="s">
        <v>95</v>
      </c>
      <c r="E15" s="18" t="s">
        <v>75</v>
      </c>
      <c r="F15" s="16" t="s">
        <v>76</v>
      </c>
      <c r="G15" s="17"/>
      <c r="H15" s="16" t="s">
        <v>96</v>
      </c>
    </row>
    <row r="16" spans="1:8" ht="26" x14ac:dyDescent="0.2">
      <c r="A16" s="11" t="s">
        <v>97</v>
      </c>
      <c r="B16" s="12" t="s">
        <v>98</v>
      </c>
      <c r="C16" s="13" t="s">
        <v>99</v>
      </c>
      <c r="D16" s="14" t="s">
        <v>74</v>
      </c>
      <c r="E16" s="18" t="s">
        <v>75</v>
      </c>
      <c r="F16" s="16" t="s">
        <v>76</v>
      </c>
      <c r="G16" s="17"/>
      <c r="H16" s="16" t="s">
        <v>100</v>
      </c>
    </row>
    <row r="17" spans="1:8" ht="26" x14ac:dyDescent="0.2">
      <c r="A17" s="11" t="s">
        <v>101</v>
      </c>
      <c r="B17" s="12" t="s">
        <v>102</v>
      </c>
      <c r="C17" s="13" t="s">
        <v>103</v>
      </c>
      <c r="D17" s="14" t="s">
        <v>104</v>
      </c>
      <c r="E17" s="15" t="s">
        <v>58</v>
      </c>
      <c r="F17" s="16" t="s">
        <v>59</v>
      </c>
      <c r="G17" s="17"/>
      <c r="H17" s="16" t="s">
        <v>105</v>
      </c>
    </row>
    <row r="18" spans="1:8" ht="26" x14ac:dyDescent="0.2">
      <c r="A18" s="11" t="s">
        <v>106</v>
      </c>
      <c r="B18" s="12" t="s">
        <v>107</v>
      </c>
      <c r="C18" s="13" t="s">
        <v>108</v>
      </c>
      <c r="D18" s="14" t="s">
        <v>109</v>
      </c>
      <c r="E18" s="18" t="s">
        <v>75</v>
      </c>
      <c r="F18" s="16" t="s">
        <v>76</v>
      </c>
      <c r="G18" s="17"/>
      <c r="H18" s="16" t="s">
        <v>110</v>
      </c>
    </row>
    <row r="19" spans="1:8" ht="26" x14ac:dyDescent="0.2">
      <c r="A19" s="11" t="s">
        <v>111</v>
      </c>
      <c r="B19" s="12" t="s">
        <v>112</v>
      </c>
      <c r="C19" s="13" t="s">
        <v>113</v>
      </c>
      <c r="D19" s="14" t="s">
        <v>114</v>
      </c>
      <c r="E19" s="18" t="s">
        <v>75</v>
      </c>
      <c r="F19" s="16" t="s">
        <v>76</v>
      </c>
      <c r="G19" s="17"/>
      <c r="H19" s="16" t="s">
        <v>115</v>
      </c>
    </row>
    <row r="20" spans="1:8" ht="26" x14ac:dyDescent="0.2">
      <c r="A20" s="11" t="s">
        <v>116</v>
      </c>
      <c r="B20" s="12" t="s">
        <v>117</v>
      </c>
      <c r="C20" s="13" t="s">
        <v>118</v>
      </c>
      <c r="D20" s="14" t="s">
        <v>74</v>
      </c>
      <c r="E20" s="18" t="s">
        <v>75</v>
      </c>
      <c r="F20" s="16" t="s">
        <v>76</v>
      </c>
      <c r="G20" s="17"/>
      <c r="H20" s="16" t="s">
        <v>119</v>
      </c>
    </row>
    <row r="21" spans="1:8" ht="26" x14ac:dyDescent="0.2">
      <c r="A21" s="11" t="s">
        <v>120</v>
      </c>
      <c r="B21" s="12" t="s">
        <v>121</v>
      </c>
      <c r="C21" s="13" t="s">
        <v>122</v>
      </c>
      <c r="D21" s="14" t="s">
        <v>123</v>
      </c>
      <c r="E21" s="19" t="s">
        <v>124</v>
      </c>
      <c r="F21" s="16" t="s">
        <v>125</v>
      </c>
      <c r="G21" s="17"/>
      <c r="H21" s="16" t="s">
        <v>126</v>
      </c>
    </row>
    <row r="22" spans="1:8" ht="29" customHeight="1" x14ac:dyDescent="0.2">
      <c r="A22" s="11" t="s">
        <v>127</v>
      </c>
      <c r="B22" s="12" t="s">
        <v>128</v>
      </c>
      <c r="C22" s="13" t="s">
        <v>129</v>
      </c>
      <c r="D22" s="14" t="s">
        <v>130</v>
      </c>
      <c r="E22" s="19" t="s">
        <v>124</v>
      </c>
      <c r="F22" s="16" t="s">
        <v>125</v>
      </c>
      <c r="G22" s="17"/>
      <c r="H22" s="16" t="s">
        <v>131</v>
      </c>
    </row>
    <row r="23" spans="1:8" ht="18" customHeight="1" x14ac:dyDescent="0.2">
      <c r="A23" s="37" t="s">
        <v>132</v>
      </c>
      <c r="B23" s="37"/>
      <c r="C23" s="37"/>
      <c r="D23" s="37"/>
      <c r="E23" s="37"/>
      <c r="F23" s="37"/>
      <c r="G23" s="37"/>
      <c r="H23" s="37"/>
    </row>
    <row r="24" spans="1:8" ht="38" customHeight="1" x14ac:dyDescent="0.2">
      <c r="A24" s="11" t="s">
        <v>133</v>
      </c>
      <c r="B24" s="12" t="s">
        <v>134</v>
      </c>
      <c r="C24" s="13" t="s">
        <v>135</v>
      </c>
      <c r="D24" s="14" t="s">
        <v>136</v>
      </c>
      <c r="E24" s="15" t="s">
        <v>58</v>
      </c>
      <c r="F24" s="16" t="s">
        <v>59</v>
      </c>
      <c r="G24" s="17"/>
      <c r="H24" s="16" t="s">
        <v>137</v>
      </c>
    </row>
    <row r="25" spans="1:8" ht="26" x14ac:dyDescent="0.2">
      <c r="A25" s="11" t="s">
        <v>138</v>
      </c>
      <c r="B25" s="12" t="s">
        <v>139</v>
      </c>
      <c r="C25" s="13" t="s">
        <v>140</v>
      </c>
      <c r="D25" s="14" t="s">
        <v>141</v>
      </c>
      <c r="E25" s="18" t="s">
        <v>75</v>
      </c>
      <c r="F25" s="16" t="s">
        <v>76</v>
      </c>
      <c r="G25" s="17"/>
      <c r="H25" s="16"/>
    </row>
    <row r="26" spans="1:8" ht="30" customHeight="1" x14ac:dyDescent="0.2">
      <c r="A26" s="11" t="s">
        <v>142</v>
      </c>
      <c r="B26" s="12" t="s">
        <v>143</v>
      </c>
      <c r="C26" s="13" t="s">
        <v>144</v>
      </c>
      <c r="D26" s="14" t="s">
        <v>145</v>
      </c>
      <c r="E26" s="18" t="s">
        <v>75</v>
      </c>
      <c r="F26" s="16" t="s">
        <v>76</v>
      </c>
      <c r="G26" s="17"/>
      <c r="H26" s="16"/>
    </row>
    <row r="27" spans="1:8" ht="30" customHeight="1" x14ac:dyDescent="0.2">
      <c r="A27" s="11" t="s">
        <v>146</v>
      </c>
      <c r="B27" s="12" t="s">
        <v>147</v>
      </c>
      <c r="C27" s="13" t="s">
        <v>148</v>
      </c>
      <c r="D27" s="14" t="s">
        <v>149</v>
      </c>
      <c r="E27" s="15" t="s">
        <v>58</v>
      </c>
      <c r="F27" s="16" t="s">
        <v>59</v>
      </c>
      <c r="G27" s="17"/>
      <c r="H27" s="16" t="s">
        <v>150</v>
      </c>
    </row>
    <row r="28" spans="1:8" ht="28" customHeight="1" x14ac:dyDescent="0.2">
      <c r="A28" s="11" t="s">
        <v>151</v>
      </c>
      <c r="B28" s="12" t="s">
        <v>152</v>
      </c>
      <c r="C28" s="13" t="s">
        <v>153</v>
      </c>
      <c r="D28" s="14" t="s">
        <v>154</v>
      </c>
      <c r="E28" s="15" t="s">
        <v>58</v>
      </c>
      <c r="F28" s="16" t="s">
        <v>59</v>
      </c>
      <c r="G28" s="17"/>
      <c r="H28" s="16" t="s">
        <v>155</v>
      </c>
    </row>
    <row r="29" spans="1:8" ht="28" x14ac:dyDescent="0.2">
      <c r="A29" s="11" t="s">
        <v>156</v>
      </c>
      <c r="B29" s="12" t="s">
        <v>157</v>
      </c>
      <c r="C29" s="13" t="s">
        <v>158</v>
      </c>
      <c r="D29" s="14" t="s">
        <v>159</v>
      </c>
      <c r="E29" s="18" t="s">
        <v>75</v>
      </c>
      <c r="F29" s="16" t="s">
        <v>76</v>
      </c>
      <c r="G29" s="17"/>
      <c r="H29" s="16"/>
    </row>
    <row r="30" spans="1:8" ht="26" x14ac:dyDescent="0.2">
      <c r="A30" s="11" t="s">
        <v>160</v>
      </c>
      <c r="B30" s="12" t="s">
        <v>161</v>
      </c>
      <c r="C30" s="13" t="s">
        <v>162</v>
      </c>
      <c r="D30" s="14" t="s">
        <v>163</v>
      </c>
      <c r="E30" s="19" t="s">
        <v>124</v>
      </c>
      <c r="F30" s="16" t="s">
        <v>125</v>
      </c>
      <c r="G30" s="17"/>
      <c r="H30" s="16"/>
    </row>
    <row r="31" spans="1:8" ht="18" customHeight="1" x14ac:dyDescent="0.2">
      <c r="A31" s="38" t="s">
        <v>164</v>
      </c>
      <c r="B31" s="38"/>
      <c r="C31" s="38"/>
      <c r="D31" s="38"/>
      <c r="E31" s="38"/>
      <c r="F31" s="38"/>
      <c r="G31" s="38"/>
      <c r="H31" s="38"/>
    </row>
    <row r="32" spans="1:8" ht="25" customHeight="1" x14ac:dyDescent="0.2">
      <c r="A32" s="11" t="s">
        <v>165</v>
      </c>
      <c r="B32" s="12" t="s">
        <v>166</v>
      </c>
      <c r="C32" s="13" t="s">
        <v>167</v>
      </c>
      <c r="D32" s="14" t="s">
        <v>168</v>
      </c>
      <c r="E32" s="15" t="s">
        <v>58</v>
      </c>
      <c r="F32" s="16" t="s">
        <v>59</v>
      </c>
      <c r="G32" s="17"/>
      <c r="H32" s="16" t="s">
        <v>169</v>
      </c>
    </row>
    <row r="33" spans="1:10" ht="26" x14ac:dyDescent="0.2">
      <c r="A33" s="11" t="s">
        <v>170</v>
      </c>
      <c r="B33" s="12" t="s">
        <v>171</v>
      </c>
      <c r="C33" s="13" t="s">
        <v>172</v>
      </c>
      <c r="D33" s="14" t="s">
        <v>173</v>
      </c>
      <c r="E33" s="18" t="s">
        <v>75</v>
      </c>
      <c r="F33" s="16" t="s">
        <v>76</v>
      </c>
      <c r="G33" s="17"/>
      <c r="H33" s="16" t="s">
        <v>174</v>
      </c>
    </row>
    <row r="34" spans="1:10" ht="28" x14ac:dyDescent="0.2">
      <c r="A34" s="11" t="s">
        <v>175</v>
      </c>
      <c r="B34" s="12" t="s">
        <v>176</v>
      </c>
      <c r="C34" s="13" t="s">
        <v>177</v>
      </c>
      <c r="D34" s="14" t="s">
        <v>178</v>
      </c>
      <c r="E34" s="18" t="s">
        <v>75</v>
      </c>
      <c r="F34" s="16" t="s">
        <v>76</v>
      </c>
      <c r="G34" s="17"/>
      <c r="H34" s="16"/>
    </row>
    <row r="35" spans="1:10" ht="26" x14ac:dyDescent="0.2">
      <c r="A35" s="11" t="s">
        <v>179</v>
      </c>
      <c r="B35" s="12" t="s">
        <v>180</v>
      </c>
      <c r="C35" s="13" t="s">
        <v>181</v>
      </c>
      <c r="D35" s="14" t="s">
        <v>182</v>
      </c>
      <c r="E35" s="18" t="s">
        <v>75</v>
      </c>
      <c r="F35" s="16" t="s">
        <v>76</v>
      </c>
      <c r="G35" s="17"/>
      <c r="H35" s="16"/>
    </row>
    <row r="36" spans="1:10" ht="26" x14ac:dyDescent="0.2">
      <c r="A36" s="11" t="s">
        <v>183</v>
      </c>
      <c r="B36" s="12" t="s">
        <v>184</v>
      </c>
      <c r="C36" s="13" t="s">
        <v>185</v>
      </c>
      <c r="D36" s="14" t="s">
        <v>186</v>
      </c>
      <c r="E36" s="18" t="s">
        <v>75</v>
      </c>
      <c r="F36" s="16" t="s">
        <v>76</v>
      </c>
      <c r="G36" s="17"/>
      <c r="H36" s="16"/>
    </row>
    <row r="37" spans="1:10" ht="26" x14ac:dyDescent="0.2">
      <c r="A37" s="11" t="s">
        <v>187</v>
      </c>
      <c r="B37" s="12" t="s">
        <v>188</v>
      </c>
      <c r="C37" s="13" t="s">
        <v>189</v>
      </c>
      <c r="D37" s="14" t="s">
        <v>190</v>
      </c>
      <c r="E37" s="19" t="s">
        <v>124</v>
      </c>
      <c r="F37" s="16" t="s">
        <v>125</v>
      </c>
      <c r="G37" s="17"/>
      <c r="H37" s="16"/>
    </row>
    <row r="38" spans="1:10" ht="18" customHeight="1" x14ac:dyDescent="0.2">
      <c r="A38" s="32" t="s">
        <v>191</v>
      </c>
      <c r="B38" s="32"/>
      <c r="C38" s="32"/>
      <c r="D38" s="32"/>
      <c r="E38" s="32"/>
      <c r="F38" s="32"/>
      <c r="G38" s="32"/>
      <c r="H38" s="32"/>
    </row>
    <row r="39" spans="1:10" ht="30" customHeight="1" x14ac:dyDescent="0.2">
      <c r="A39" s="11" t="s">
        <v>192</v>
      </c>
      <c r="B39" s="12" t="s">
        <v>193</v>
      </c>
      <c r="C39" s="13" t="s">
        <v>194</v>
      </c>
      <c r="D39" s="14" t="s">
        <v>195</v>
      </c>
      <c r="E39" s="15" t="s">
        <v>58</v>
      </c>
      <c r="F39" s="16" t="s">
        <v>196</v>
      </c>
      <c r="G39" s="17"/>
      <c r="H39" s="16" t="s">
        <v>197</v>
      </c>
    </row>
    <row r="40" spans="1:10" ht="33" customHeight="1" x14ac:dyDescent="0.2">
      <c r="A40" s="11" t="s">
        <v>198</v>
      </c>
      <c r="B40" s="12" t="s">
        <v>199</v>
      </c>
      <c r="C40" s="13" t="s">
        <v>200</v>
      </c>
      <c r="D40" s="14" t="s">
        <v>201</v>
      </c>
      <c r="E40" s="15" t="s">
        <v>58</v>
      </c>
      <c r="F40" s="16" t="s">
        <v>196</v>
      </c>
      <c r="G40" s="17"/>
      <c r="H40" s="16" t="s">
        <v>197</v>
      </c>
    </row>
    <row r="41" spans="1:10" ht="51" customHeight="1" x14ac:dyDescent="0.2">
      <c r="A41" s="11" t="s">
        <v>202</v>
      </c>
      <c r="B41" s="12" t="s">
        <v>203</v>
      </c>
      <c r="C41" s="13" t="s">
        <v>204</v>
      </c>
      <c r="D41" s="14" t="s">
        <v>205</v>
      </c>
      <c r="E41" s="15" t="s">
        <v>58</v>
      </c>
      <c r="F41" s="16" t="s">
        <v>196</v>
      </c>
      <c r="G41" s="17"/>
      <c r="H41" s="16" t="s">
        <v>197</v>
      </c>
    </row>
    <row r="42" spans="1:10" ht="29" customHeight="1" x14ac:dyDescent="0.2">
      <c r="A42" s="11" t="s">
        <v>206</v>
      </c>
      <c r="B42" s="12" t="s">
        <v>207</v>
      </c>
      <c r="C42" s="13" t="s">
        <v>208</v>
      </c>
      <c r="D42" s="14" t="s">
        <v>209</v>
      </c>
      <c r="E42" s="18" t="s">
        <v>75</v>
      </c>
      <c r="F42" s="16" t="s">
        <v>196</v>
      </c>
      <c r="G42" s="17"/>
      <c r="H42" s="16" t="s">
        <v>197</v>
      </c>
    </row>
    <row r="43" spans="1:10" ht="52" x14ac:dyDescent="0.2">
      <c r="A43" s="11" t="s">
        <v>210</v>
      </c>
      <c r="B43" s="12" t="s">
        <v>211</v>
      </c>
      <c r="C43" s="13" t="s">
        <v>212</v>
      </c>
      <c r="D43" s="14" t="s">
        <v>213</v>
      </c>
      <c r="E43" s="15" t="s">
        <v>58</v>
      </c>
      <c r="F43" s="16" t="s">
        <v>196</v>
      </c>
      <c r="G43" s="17"/>
      <c r="H43" s="16" t="s">
        <v>214</v>
      </c>
    </row>
    <row r="44" spans="1:10" ht="43" customHeight="1" x14ac:dyDescent="0.2">
      <c r="A44" s="11" t="s">
        <v>215</v>
      </c>
      <c r="B44" s="12" t="s">
        <v>216</v>
      </c>
      <c r="C44" s="13" t="s">
        <v>217</v>
      </c>
      <c r="D44" s="14" t="s">
        <v>218</v>
      </c>
      <c r="E44" s="18" t="s">
        <v>75</v>
      </c>
      <c r="F44" s="16" t="s">
        <v>196</v>
      </c>
      <c r="G44" s="17"/>
      <c r="H44" s="16" t="s">
        <v>219</v>
      </c>
    </row>
    <row r="45" spans="1:10" ht="19.5" customHeight="1" x14ac:dyDescent="0.2">
      <c r="A45" s="33" t="s">
        <v>220</v>
      </c>
      <c r="B45" s="33"/>
      <c r="C45" s="33"/>
      <c r="D45" s="33"/>
      <c r="E45" s="33"/>
      <c r="F45" s="33"/>
      <c r="G45" s="33"/>
      <c r="H45" s="33"/>
    </row>
    <row r="46" spans="1:10" ht="15" customHeight="1" x14ac:dyDescent="0.2">
      <c r="A46" s="27" t="s">
        <v>221</v>
      </c>
      <c r="B46" s="27"/>
      <c r="C46" s="27"/>
      <c r="D46" s="27"/>
      <c r="E46" s="27"/>
      <c r="F46" s="27"/>
      <c r="G46" s="28">
        <f>COUNTA(E8:E44)</f>
        <v>34</v>
      </c>
      <c r="H46" s="28"/>
      <c r="J46" t="s">
        <v>448</v>
      </c>
    </row>
    <row r="47" spans="1:10" ht="15" customHeight="1" x14ac:dyDescent="0.2">
      <c r="A47" s="27" t="s">
        <v>222</v>
      </c>
      <c r="B47" s="27"/>
      <c r="C47" s="27"/>
      <c r="D47" s="27"/>
      <c r="E47" s="27"/>
      <c r="F47" s="27"/>
      <c r="G47" s="28">
        <f>COUNTA(G8:G44)</f>
        <v>0</v>
      </c>
      <c r="H47" s="28"/>
      <c r="J47" t="s">
        <v>449</v>
      </c>
    </row>
    <row r="48" spans="1:10" ht="15" customHeight="1" x14ac:dyDescent="0.2">
      <c r="A48" s="27" t="s">
        <v>223</v>
      </c>
      <c r="B48" s="27"/>
      <c r="C48" s="27"/>
      <c r="D48" s="27"/>
      <c r="E48" s="27"/>
      <c r="F48" s="27"/>
      <c r="G48" s="28">
        <f>COUNTIF(G8:G44,"OK")</f>
        <v>0</v>
      </c>
      <c r="H48" s="28"/>
      <c r="J48" t="s">
        <v>450</v>
      </c>
    </row>
    <row r="49" spans="1:8" ht="15" customHeight="1" x14ac:dyDescent="0.2">
      <c r="A49" s="27" t="s">
        <v>224</v>
      </c>
      <c r="B49" s="27"/>
      <c r="C49" s="27"/>
      <c r="D49" s="27"/>
      <c r="E49" s="27"/>
      <c r="F49" s="27"/>
      <c r="G49" s="28">
        <f>COUNTIF(G8:G44,"NG")</f>
        <v>0</v>
      </c>
      <c r="H49" s="28"/>
    </row>
    <row r="50" spans="1:8" ht="15" customHeight="1" x14ac:dyDescent="0.2">
      <c r="A50" s="27" t="s">
        <v>225</v>
      </c>
      <c r="B50" s="27"/>
      <c r="C50" s="27"/>
      <c r="D50" s="27"/>
      <c r="E50" s="27"/>
      <c r="F50" s="27"/>
      <c r="G50" s="28">
        <f>COUNTIF(G8:G44,"N/A")</f>
        <v>0</v>
      </c>
      <c r="H50" s="28"/>
    </row>
    <row r="51" spans="1:8" ht="15" customHeight="1" x14ac:dyDescent="0.2">
      <c r="A51" s="27" t="s">
        <v>226</v>
      </c>
      <c r="B51" s="27"/>
      <c r="C51" s="27"/>
      <c r="D51" s="27"/>
      <c r="E51" s="27"/>
      <c r="F51" s="27"/>
      <c r="G51" s="28">
        <f>COUNTIFS(E8:E44,"◆",G8:G44,"NG")</f>
        <v>0</v>
      </c>
      <c r="H51" s="28"/>
    </row>
    <row r="52" spans="1:8" ht="15" customHeight="1" x14ac:dyDescent="0.2">
      <c r="A52" s="27" t="s">
        <v>227</v>
      </c>
      <c r="B52" s="27"/>
      <c r="C52" s="27"/>
      <c r="D52" s="27"/>
      <c r="E52" s="27"/>
      <c r="F52" s="27"/>
      <c r="G52" s="29">
        <f>IF(COUNTA(E8:E44)=0,0,COUNTA(G8:G44)/COUNTA(E8:E44))</f>
        <v>0</v>
      </c>
      <c r="H52" s="29"/>
    </row>
    <row r="53" spans="1:8" ht="27.75" customHeight="1" x14ac:dyDescent="0.2">
      <c r="A53" s="30" t="s">
        <v>228</v>
      </c>
      <c r="B53" s="30"/>
      <c r="C53" s="31" t="str">
        <f>IF(COUNTA(E8:E44)=0,"— chưa nhập / not started —",IF(COUNTIFS(E8:E44,"◆",G8:G44,"NG")&gt;0,"✗ KHÔNG ĐẠT — DỪNG / FAIL — STOP",IF(COUNTA(G8:G44)&lt;COUNTA(E8:E44),"… CHƯA KIỂM ĐỦ / INCOMPLETE",IF(COUNTIF(G8:G44,"NG")&gt;0,"▲ ĐẠT CÓ ĐIỀU KIỆN / CONDITIONAL PASS","✓ ĐẠT — ĐƯỢC CHẠY SX / PASS — RELEASE"))))</f>
        <v>… CHƯA KIỂM ĐỦ / INCOMPLETE</v>
      </c>
      <c r="D53" s="31"/>
      <c r="E53" s="31"/>
      <c r="F53" s="31"/>
      <c r="G53" s="31"/>
      <c r="H53" s="31"/>
    </row>
    <row r="55" spans="1:8" ht="15" customHeight="1" x14ac:dyDescent="0.2">
      <c r="A55" s="25" t="s">
        <v>229</v>
      </c>
      <c r="B55" s="25"/>
      <c r="C55" s="25"/>
      <c r="D55" s="25" t="s">
        <v>230</v>
      </c>
      <c r="E55" s="25"/>
      <c r="F55" s="25"/>
      <c r="G55" s="25" t="s">
        <v>231</v>
      </c>
      <c r="H55" s="25"/>
    </row>
    <row r="58" spans="1:8" ht="19.5" customHeight="1" x14ac:dyDescent="0.2">
      <c r="A58" s="26" t="s">
        <v>232</v>
      </c>
      <c r="B58" s="26"/>
      <c r="C58" s="26"/>
      <c r="D58" s="26" t="s">
        <v>232</v>
      </c>
      <c r="E58" s="26"/>
      <c r="F58" s="26"/>
      <c r="G58" s="26" t="s">
        <v>232</v>
      </c>
      <c r="H58" s="26"/>
    </row>
  </sheetData>
  <mergeCells count="35">
    <mergeCell ref="A1:H1"/>
    <mergeCell ref="A2:H2"/>
    <mergeCell ref="E3:F3"/>
    <mergeCell ref="G3:H3"/>
    <mergeCell ref="E4:F4"/>
    <mergeCell ref="G4:H4"/>
    <mergeCell ref="E5:F5"/>
    <mergeCell ref="G5:H5"/>
    <mergeCell ref="A7:H7"/>
    <mergeCell ref="A23:H23"/>
    <mergeCell ref="A31:H31"/>
    <mergeCell ref="A38:H38"/>
    <mergeCell ref="A45:H45"/>
    <mergeCell ref="A46:F46"/>
    <mergeCell ref="G46:H46"/>
    <mergeCell ref="A47:F47"/>
    <mergeCell ref="G47:H47"/>
    <mergeCell ref="A48:F48"/>
    <mergeCell ref="G48:H48"/>
    <mergeCell ref="A49:F49"/>
    <mergeCell ref="G49:H49"/>
    <mergeCell ref="A50:F50"/>
    <mergeCell ref="G50:H50"/>
    <mergeCell ref="A51:F51"/>
    <mergeCell ref="G51:H51"/>
    <mergeCell ref="A52:F52"/>
    <mergeCell ref="G52:H52"/>
    <mergeCell ref="A53:B53"/>
    <mergeCell ref="C53:H53"/>
    <mergeCell ref="A55:C55"/>
    <mergeCell ref="D55:F55"/>
    <mergeCell ref="G55:H55"/>
    <mergeCell ref="A58:C58"/>
    <mergeCell ref="D58:F58"/>
    <mergeCell ref="G58:H58"/>
  </mergeCells>
  <conditionalFormatting sqref="C53">
    <cfRule type="expression" dxfId="20" priority="5">
      <formula>ISNUMBER(SEARCH("KHÔNG ĐẠT",C53))</formula>
    </cfRule>
    <cfRule type="expression" dxfId="19" priority="6">
      <formula>ISNUMBER(SEARCH("ĐƯỢC CHẠY",C53))</formula>
    </cfRule>
    <cfRule type="expression" dxfId="18" priority="7">
      <formula>ISNUMBER(SEARCH("ĐIỀU KIỆN",C53))</formula>
    </cfRule>
  </conditionalFormatting>
  <conditionalFormatting sqref="G8:G44">
    <cfRule type="cellIs" dxfId="17" priority="2" operator="equal">
      <formula>"NG"</formula>
    </cfRule>
    <cfRule type="cellIs" dxfId="16" priority="3" operator="equal">
      <formula>"OK"</formula>
    </cfRule>
    <cfRule type="cellIs" dxfId="15" priority="4" operator="equal">
      <formula>"N/A"</formula>
    </cfRule>
  </conditionalFormatting>
  <dataValidations count="1">
    <dataValidation type="list" allowBlank="1" showInputMessage="1" showErrorMessage="1" sqref="G8:G44" xr:uid="{00000000-0002-0000-0100-000000000000}">
      <formula1>"OK,NG,N/A"</formula1>
      <formula2>0</formula2>
    </dataValidation>
  </dataValidations>
  <printOptions horizontalCentered="1"/>
  <pageMargins left="0.3" right="0.3" top="1" bottom="1" header="0.511811023622047" footer="0.511811023622047"/>
  <pageSetup scale="73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51"/>
  <sheetViews>
    <sheetView showGridLines="0" topLeftCell="C1" zoomScale="173" zoomScaleNormal="100" workbookViewId="0">
      <pane ySplit="7" topLeftCell="A8" activePane="bottomLeft" state="frozen"/>
      <selection pane="bottomLeft" activeCell="F27" sqref="F27"/>
    </sheetView>
  </sheetViews>
  <sheetFormatPr baseColWidth="10" defaultColWidth="8.6640625" defaultRowHeight="15" x14ac:dyDescent="0.2"/>
  <cols>
    <col min="1" max="1" width="5.5" customWidth="1"/>
    <col min="2" max="2" width="34" customWidth="1"/>
    <col min="3" max="3" width="36.83203125" customWidth="1"/>
    <col min="4" max="4" width="28" customWidth="1"/>
    <col min="5" max="5" width="5.5" customWidth="1"/>
    <col min="6" max="6" width="28.83203125" customWidth="1"/>
    <col min="7" max="7" width="9" customWidth="1"/>
    <col min="8" max="8" width="23.5" customWidth="1"/>
  </cols>
  <sheetData>
    <row r="1" spans="1:8" ht="25.5" customHeight="1" x14ac:dyDescent="0.2">
      <c r="A1" s="39" t="s">
        <v>233</v>
      </c>
      <c r="B1" s="39"/>
      <c r="C1" s="39"/>
      <c r="D1" s="39"/>
      <c r="E1" s="39"/>
      <c r="F1" s="39"/>
      <c r="G1" s="39"/>
      <c r="H1" s="39"/>
    </row>
    <row r="2" spans="1:8" ht="15" customHeight="1" x14ac:dyDescent="0.2">
      <c r="A2" s="40" t="s">
        <v>234</v>
      </c>
      <c r="B2" s="40"/>
      <c r="C2" s="40"/>
      <c r="D2" s="40"/>
      <c r="E2" s="40"/>
      <c r="F2" s="40"/>
      <c r="G2" s="40"/>
      <c r="H2" s="40"/>
    </row>
    <row r="3" spans="1:8" ht="15" customHeight="1" x14ac:dyDescent="0.2">
      <c r="A3" s="8" t="s">
        <v>36</v>
      </c>
      <c r="B3" s="9"/>
      <c r="C3" s="1" t="s">
        <v>37</v>
      </c>
      <c r="D3" s="9"/>
      <c r="E3" s="34" t="s">
        <v>38</v>
      </c>
      <c r="F3" s="34"/>
      <c r="G3" s="35"/>
      <c r="H3" s="35"/>
    </row>
    <row r="4" spans="1:8" ht="15" customHeight="1" x14ac:dyDescent="0.2">
      <c r="A4" s="8" t="s">
        <v>39</v>
      </c>
      <c r="B4" s="9"/>
      <c r="C4" s="1" t="s">
        <v>40</v>
      </c>
      <c r="D4" s="9"/>
      <c r="E4" s="34" t="s">
        <v>41</v>
      </c>
      <c r="F4" s="34"/>
      <c r="G4" s="35"/>
      <c r="H4" s="35"/>
    </row>
    <row r="5" spans="1:8" ht="15" customHeight="1" x14ac:dyDescent="0.2">
      <c r="A5" s="8" t="s">
        <v>42</v>
      </c>
      <c r="B5" s="9"/>
      <c r="C5" s="1" t="s">
        <v>43</v>
      </c>
      <c r="D5" s="9"/>
      <c r="E5" s="34" t="s">
        <v>44</v>
      </c>
      <c r="F5" s="34"/>
      <c r="G5" s="35"/>
      <c r="H5" s="35"/>
    </row>
    <row r="7" spans="1:8" ht="25.5" customHeight="1" x14ac:dyDescent="0.2">
      <c r="A7" s="10" t="s">
        <v>45</v>
      </c>
      <c r="B7" s="10" t="s">
        <v>46</v>
      </c>
      <c r="C7" s="10" t="s">
        <v>47</v>
      </c>
      <c r="D7" s="10" t="s">
        <v>48</v>
      </c>
      <c r="E7" s="10" t="s">
        <v>49</v>
      </c>
      <c r="F7" s="10" t="s">
        <v>50</v>
      </c>
      <c r="G7" s="10" t="s">
        <v>51</v>
      </c>
      <c r="H7" s="10" t="s">
        <v>52</v>
      </c>
    </row>
    <row r="8" spans="1:8" ht="18" customHeight="1" x14ac:dyDescent="0.2">
      <c r="A8" s="36" t="s">
        <v>53</v>
      </c>
      <c r="B8" s="36"/>
      <c r="C8" s="36"/>
      <c r="D8" s="36"/>
      <c r="E8" s="36"/>
      <c r="F8" s="36"/>
      <c r="G8" s="36"/>
      <c r="H8" s="36"/>
    </row>
    <row r="9" spans="1:8" ht="52" x14ac:dyDescent="0.2">
      <c r="A9" s="11" t="s">
        <v>54</v>
      </c>
      <c r="B9" s="12" t="s">
        <v>235</v>
      </c>
      <c r="C9" s="13" t="s">
        <v>236</v>
      </c>
      <c r="D9" s="14" t="s">
        <v>237</v>
      </c>
      <c r="E9" s="15" t="s">
        <v>58</v>
      </c>
      <c r="F9" s="16" t="s">
        <v>59</v>
      </c>
      <c r="G9" s="17"/>
      <c r="H9" s="16" t="s">
        <v>238</v>
      </c>
    </row>
    <row r="10" spans="1:8" ht="28" x14ac:dyDescent="0.2">
      <c r="A10" s="11" t="s">
        <v>61</v>
      </c>
      <c r="B10" s="12" t="s">
        <v>239</v>
      </c>
      <c r="C10" s="13" t="s">
        <v>240</v>
      </c>
      <c r="D10" s="14" t="s">
        <v>69</v>
      </c>
      <c r="E10" s="15" t="s">
        <v>58</v>
      </c>
      <c r="F10" s="16" t="s">
        <v>59</v>
      </c>
      <c r="G10" s="17"/>
      <c r="H10" s="16" t="s">
        <v>241</v>
      </c>
    </row>
    <row r="11" spans="1:8" ht="26" x14ac:dyDescent="0.2">
      <c r="A11" s="11" t="s">
        <v>66</v>
      </c>
      <c r="B11" s="12" t="s">
        <v>242</v>
      </c>
      <c r="C11" s="13" t="s">
        <v>243</v>
      </c>
      <c r="D11" s="14" t="s">
        <v>104</v>
      </c>
      <c r="E11" s="15" t="s">
        <v>58</v>
      </c>
      <c r="F11" s="16" t="s">
        <v>59</v>
      </c>
      <c r="G11" s="17"/>
      <c r="H11" s="16" t="s">
        <v>244</v>
      </c>
    </row>
    <row r="12" spans="1:8" ht="26" x14ac:dyDescent="0.2">
      <c r="A12" s="11" t="s">
        <v>71</v>
      </c>
      <c r="B12" s="12" t="s">
        <v>245</v>
      </c>
      <c r="C12" s="13" t="s">
        <v>246</v>
      </c>
      <c r="D12" s="14" t="s">
        <v>114</v>
      </c>
      <c r="E12" s="18" t="s">
        <v>75</v>
      </c>
      <c r="F12" s="16" t="s">
        <v>76</v>
      </c>
      <c r="G12" s="17"/>
      <c r="H12" s="16" t="s">
        <v>247</v>
      </c>
    </row>
    <row r="13" spans="1:8" ht="26" x14ac:dyDescent="0.2">
      <c r="A13" s="11" t="s">
        <v>78</v>
      </c>
      <c r="B13" s="12" t="s">
        <v>248</v>
      </c>
      <c r="C13" s="13" t="s">
        <v>249</v>
      </c>
      <c r="D13" s="14" t="s">
        <v>109</v>
      </c>
      <c r="E13" s="18" t="s">
        <v>75</v>
      </c>
      <c r="F13" s="16" t="s">
        <v>76</v>
      </c>
      <c r="G13" s="17"/>
      <c r="H13" s="16" t="s">
        <v>115</v>
      </c>
    </row>
    <row r="14" spans="1:8" ht="26" x14ac:dyDescent="0.2">
      <c r="A14" s="11" t="s">
        <v>83</v>
      </c>
      <c r="B14" s="12" t="s">
        <v>250</v>
      </c>
      <c r="C14" s="13" t="s">
        <v>251</v>
      </c>
      <c r="D14" s="14" t="s">
        <v>252</v>
      </c>
      <c r="E14" s="18" t="s">
        <v>75</v>
      </c>
      <c r="F14" s="16" t="s">
        <v>76</v>
      </c>
      <c r="G14" s="17"/>
      <c r="H14" s="16" t="s">
        <v>115</v>
      </c>
    </row>
    <row r="15" spans="1:8" ht="26" x14ac:dyDescent="0.2">
      <c r="A15" s="11" t="s">
        <v>88</v>
      </c>
      <c r="B15" s="12" t="s">
        <v>253</v>
      </c>
      <c r="C15" s="13" t="s">
        <v>254</v>
      </c>
      <c r="D15" s="14" t="s">
        <v>255</v>
      </c>
      <c r="E15" s="18" t="s">
        <v>75</v>
      </c>
      <c r="F15" s="16" t="s">
        <v>76</v>
      </c>
      <c r="G15" s="17"/>
      <c r="H15" s="16"/>
    </row>
    <row r="16" spans="1:8" ht="26" x14ac:dyDescent="0.2">
      <c r="A16" s="11" t="s">
        <v>92</v>
      </c>
      <c r="B16" s="12" t="s">
        <v>256</v>
      </c>
      <c r="C16" s="13" t="s">
        <v>257</v>
      </c>
      <c r="D16" s="14" t="s">
        <v>123</v>
      </c>
      <c r="E16" s="18" t="s">
        <v>75</v>
      </c>
      <c r="F16" s="16" t="s">
        <v>76</v>
      </c>
      <c r="G16" s="17"/>
      <c r="H16" s="16" t="s">
        <v>258</v>
      </c>
    </row>
    <row r="17" spans="1:8" ht="26" x14ac:dyDescent="0.2">
      <c r="A17" s="11" t="s">
        <v>97</v>
      </c>
      <c r="B17" s="12" t="s">
        <v>259</v>
      </c>
      <c r="C17" s="13" t="s">
        <v>260</v>
      </c>
      <c r="D17" s="14" t="s">
        <v>74</v>
      </c>
      <c r="E17" s="18" t="s">
        <v>75</v>
      </c>
      <c r="F17" s="16" t="s">
        <v>76</v>
      </c>
      <c r="G17" s="17"/>
      <c r="H17" s="16" t="s">
        <v>261</v>
      </c>
    </row>
    <row r="18" spans="1:8" ht="26" x14ac:dyDescent="0.2">
      <c r="A18" s="11" t="s">
        <v>101</v>
      </c>
      <c r="B18" s="12" t="s">
        <v>262</v>
      </c>
      <c r="C18" s="13" t="s">
        <v>263</v>
      </c>
      <c r="D18" s="14" t="s">
        <v>109</v>
      </c>
      <c r="E18" s="18" t="s">
        <v>75</v>
      </c>
      <c r="F18" s="16" t="s">
        <v>76</v>
      </c>
      <c r="G18" s="17"/>
      <c r="H18" s="16" t="s">
        <v>110</v>
      </c>
    </row>
    <row r="19" spans="1:8" ht="26" x14ac:dyDescent="0.2">
      <c r="A19" s="11" t="s">
        <v>106</v>
      </c>
      <c r="B19" s="12" t="s">
        <v>264</v>
      </c>
      <c r="C19" s="13" t="s">
        <v>265</v>
      </c>
      <c r="D19" s="14" t="s">
        <v>86</v>
      </c>
      <c r="E19" s="18" t="s">
        <v>75</v>
      </c>
      <c r="F19" s="16" t="s">
        <v>76</v>
      </c>
      <c r="G19" s="17"/>
      <c r="H19" s="16" t="s">
        <v>110</v>
      </c>
    </row>
    <row r="20" spans="1:8" ht="18" customHeight="1" x14ac:dyDescent="0.2">
      <c r="A20" s="37" t="s">
        <v>132</v>
      </c>
      <c r="B20" s="37"/>
      <c r="C20" s="37"/>
      <c r="D20" s="37"/>
      <c r="E20" s="37"/>
      <c r="F20" s="37"/>
      <c r="G20" s="37"/>
      <c r="H20" s="37"/>
    </row>
    <row r="21" spans="1:8" ht="26" x14ac:dyDescent="0.2">
      <c r="A21" s="11" t="s">
        <v>133</v>
      </c>
      <c r="B21" s="12" t="s">
        <v>266</v>
      </c>
      <c r="C21" s="13" t="s">
        <v>267</v>
      </c>
      <c r="D21" s="14" t="s">
        <v>268</v>
      </c>
      <c r="E21" s="18" t="s">
        <v>75</v>
      </c>
      <c r="F21" s="16" t="s">
        <v>76</v>
      </c>
      <c r="G21" s="17"/>
      <c r="H21" s="16"/>
    </row>
    <row r="22" spans="1:8" ht="26" x14ac:dyDescent="0.2">
      <c r="A22" s="11" t="s">
        <v>138</v>
      </c>
      <c r="B22" s="12" t="s">
        <v>269</v>
      </c>
      <c r="C22" s="13" t="s">
        <v>270</v>
      </c>
      <c r="D22" s="14" t="s">
        <v>271</v>
      </c>
      <c r="E22" s="18" t="s">
        <v>75</v>
      </c>
      <c r="F22" s="16" t="s">
        <v>76</v>
      </c>
      <c r="G22" s="17"/>
      <c r="H22" s="16" t="s">
        <v>272</v>
      </c>
    </row>
    <row r="23" spans="1:8" ht="26" x14ac:dyDescent="0.2">
      <c r="A23" s="11" t="s">
        <v>142</v>
      </c>
      <c r="B23" s="12" t="s">
        <v>273</v>
      </c>
      <c r="C23" s="13" t="s">
        <v>274</v>
      </c>
      <c r="D23" s="14" t="s">
        <v>275</v>
      </c>
      <c r="E23" s="18" t="s">
        <v>75</v>
      </c>
      <c r="F23" s="16" t="s">
        <v>76</v>
      </c>
      <c r="G23" s="17"/>
      <c r="H23" s="16"/>
    </row>
    <row r="24" spans="1:8" ht="26" x14ac:dyDescent="0.2">
      <c r="A24" s="11" t="s">
        <v>146</v>
      </c>
      <c r="B24" s="12" t="s">
        <v>276</v>
      </c>
      <c r="C24" s="13" t="s">
        <v>277</v>
      </c>
      <c r="D24" s="14" t="s">
        <v>278</v>
      </c>
      <c r="E24" s="18" t="s">
        <v>75</v>
      </c>
      <c r="F24" s="16" t="s">
        <v>76</v>
      </c>
      <c r="G24" s="17"/>
      <c r="H24" s="16"/>
    </row>
    <row r="25" spans="1:8" ht="18" customHeight="1" x14ac:dyDescent="0.2">
      <c r="A25" s="38" t="s">
        <v>164</v>
      </c>
      <c r="B25" s="38"/>
      <c r="C25" s="38"/>
      <c r="D25" s="38"/>
      <c r="E25" s="38"/>
      <c r="F25" s="38"/>
      <c r="G25" s="38"/>
      <c r="H25" s="38"/>
    </row>
    <row r="26" spans="1:8" ht="26" x14ac:dyDescent="0.2">
      <c r="A26" s="11" t="s">
        <v>165</v>
      </c>
      <c r="B26" s="12" t="s">
        <v>166</v>
      </c>
      <c r="C26" s="13" t="s">
        <v>279</v>
      </c>
      <c r="D26" s="14" t="s">
        <v>280</v>
      </c>
      <c r="E26" s="15" t="s">
        <v>58</v>
      </c>
      <c r="F26" s="16" t="s">
        <v>59</v>
      </c>
      <c r="G26" s="17"/>
      <c r="H26" s="16"/>
    </row>
    <row r="27" spans="1:8" ht="26" x14ac:dyDescent="0.2">
      <c r="A27" s="11" t="s">
        <v>170</v>
      </c>
      <c r="B27" s="12" t="s">
        <v>171</v>
      </c>
      <c r="C27" s="13" t="s">
        <v>172</v>
      </c>
      <c r="D27" s="14" t="s">
        <v>173</v>
      </c>
      <c r="E27" s="15" t="s">
        <v>58</v>
      </c>
      <c r="F27" s="16" t="s">
        <v>59</v>
      </c>
      <c r="G27" s="17"/>
      <c r="H27" s="16" t="s">
        <v>281</v>
      </c>
    </row>
    <row r="28" spans="1:8" ht="28" x14ac:dyDescent="0.2">
      <c r="A28" s="11" t="s">
        <v>175</v>
      </c>
      <c r="B28" s="12" t="s">
        <v>282</v>
      </c>
      <c r="C28" s="13" t="s">
        <v>283</v>
      </c>
      <c r="D28" s="14" t="s">
        <v>284</v>
      </c>
      <c r="E28" s="18" t="s">
        <v>75</v>
      </c>
      <c r="F28" s="16" t="s">
        <v>76</v>
      </c>
      <c r="G28" s="17"/>
      <c r="H28" s="16" t="s">
        <v>285</v>
      </c>
    </row>
    <row r="29" spans="1:8" ht="26" x14ac:dyDescent="0.2">
      <c r="A29" s="11" t="s">
        <v>179</v>
      </c>
      <c r="B29" s="12" t="s">
        <v>286</v>
      </c>
      <c r="C29" s="13" t="s">
        <v>287</v>
      </c>
      <c r="D29" s="14" t="s">
        <v>178</v>
      </c>
      <c r="E29" s="18" t="s">
        <v>75</v>
      </c>
      <c r="F29" s="16" t="s">
        <v>76</v>
      </c>
      <c r="G29" s="17"/>
      <c r="H29" s="16"/>
    </row>
    <row r="30" spans="1:8" ht="26" x14ac:dyDescent="0.2">
      <c r="A30" s="11" t="s">
        <v>183</v>
      </c>
      <c r="B30" s="12" t="s">
        <v>288</v>
      </c>
      <c r="C30" s="13" t="s">
        <v>185</v>
      </c>
      <c r="D30" s="14" t="s">
        <v>186</v>
      </c>
      <c r="E30" s="18" t="s">
        <v>75</v>
      </c>
      <c r="F30" s="16" t="s">
        <v>76</v>
      </c>
      <c r="G30" s="17"/>
      <c r="H30" s="16"/>
    </row>
    <row r="31" spans="1:8" ht="18" customHeight="1" x14ac:dyDescent="0.2">
      <c r="A31" s="32" t="s">
        <v>191</v>
      </c>
      <c r="B31" s="32"/>
      <c r="C31" s="32"/>
      <c r="D31" s="32"/>
      <c r="E31" s="32"/>
      <c r="F31" s="32"/>
      <c r="G31" s="32"/>
      <c r="H31" s="32"/>
    </row>
    <row r="32" spans="1:8" ht="26" x14ac:dyDescent="0.2">
      <c r="A32" s="11" t="s">
        <v>192</v>
      </c>
      <c r="B32" s="12" t="s">
        <v>193</v>
      </c>
      <c r="C32" s="13" t="s">
        <v>289</v>
      </c>
      <c r="D32" s="14" t="s">
        <v>290</v>
      </c>
      <c r="E32" s="15" t="s">
        <v>58</v>
      </c>
      <c r="F32" s="16" t="s">
        <v>196</v>
      </c>
      <c r="G32" s="17"/>
      <c r="H32" s="16" t="s">
        <v>197</v>
      </c>
    </row>
    <row r="33" spans="1:8" ht="26" x14ac:dyDescent="0.2">
      <c r="A33" s="11" t="s">
        <v>198</v>
      </c>
      <c r="B33" s="12" t="s">
        <v>199</v>
      </c>
      <c r="C33" s="13" t="s">
        <v>200</v>
      </c>
      <c r="D33" s="14" t="s">
        <v>291</v>
      </c>
      <c r="E33" s="15" t="s">
        <v>58</v>
      </c>
      <c r="F33" s="16" t="s">
        <v>196</v>
      </c>
      <c r="G33" s="17"/>
      <c r="H33" s="16" t="s">
        <v>197</v>
      </c>
    </row>
    <row r="34" spans="1:8" ht="52" x14ac:dyDescent="0.2">
      <c r="A34" s="11" t="s">
        <v>202</v>
      </c>
      <c r="B34" s="12" t="s">
        <v>203</v>
      </c>
      <c r="C34" s="13" t="s">
        <v>292</v>
      </c>
      <c r="D34" s="14" t="s">
        <v>205</v>
      </c>
      <c r="E34" s="15" t="s">
        <v>58</v>
      </c>
      <c r="F34" s="16" t="s">
        <v>196</v>
      </c>
      <c r="G34" s="17"/>
      <c r="H34" s="16" t="s">
        <v>293</v>
      </c>
    </row>
    <row r="35" spans="1:8" ht="26" x14ac:dyDescent="0.2">
      <c r="A35" s="11" t="s">
        <v>206</v>
      </c>
      <c r="B35" s="12" t="s">
        <v>207</v>
      </c>
      <c r="C35" s="13" t="s">
        <v>294</v>
      </c>
      <c r="D35" s="14" t="s">
        <v>295</v>
      </c>
      <c r="E35" s="18" t="s">
        <v>75</v>
      </c>
      <c r="F35" s="16" t="s">
        <v>196</v>
      </c>
      <c r="G35" s="17"/>
      <c r="H35" s="16" t="s">
        <v>197</v>
      </c>
    </row>
    <row r="36" spans="1:8" ht="26" x14ac:dyDescent="0.2">
      <c r="A36" s="11" t="s">
        <v>210</v>
      </c>
      <c r="B36" s="12" t="s">
        <v>296</v>
      </c>
      <c r="C36" s="13" t="s">
        <v>297</v>
      </c>
      <c r="D36" s="14" t="s">
        <v>213</v>
      </c>
      <c r="E36" s="18" t="s">
        <v>75</v>
      </c>
      <c r="F36" s="16" t="s">
        <v>196</v>
      </c>
      <c r="G36" s="17"/>
      <c r="H36" s="16"/>
    </row>
    <row r="38" spans="1:8" ht="19.5" customHeight="1" x14ac:dyDescent="0.2">
      <c r="A38" s="33" t="s">
        <v>220</v>
      </c>
      <c r="B38" s="33"/>
      <c r="C38" s="33"/>
      <c r="D38" s="33"/>
      <c r="E38" s="33"/>
      <c r="F38" s="33"/>
      <c r="G38" s="33"/>
      <c r="H38" s="33"/>
    </row>
    <row r="39" spans="1:8" ht="15" customHeight="1" x14ac:dyDescent="0.2">
      <c r="A39" s="27" t="s">
        <v>221</v>
      </c>
      <c r="B39" s="27"/>
      <c r="C39" s="27"/>
      <c r="D39" s="27"/>
      <c r="E39" s="27"/>
      <c r="F39" s="27"/>
      <c r="G39" s="28">
        <f>COUNTA(E9:E36)</f>
        <v>25</v>
      </c>
      <c r="H39" s="28"/>
    </row>
    <row r="40" spans="1:8" ht="15" customHeight="1" x14ac:dyDescent="0.2">
      <c r="A40" s="27" t="s">
        <v>222</v>
      </c>
      <c r="B40" s="27"/>
      <c r="C40" s="27"/>
      <c r="D40" s="27"/>
      <c r="E40" s="27"/>
      <c r="F40" s="27"/>
      <c r="G40" s="28">
        <f>COUNTA(G9:G36)</f>
        <v>0</v>
      </c>
      <c r="H40" s="28"/>
    </row>
    <row r="41" spans="1:8" ht="15" customHeight="1" x14ac:dyDescent="0.2">
      <c r="A41" s="27" t="s">
        <v>223</v>
      </c>
      <c r="B41" s="27"/>
      <c r="C41" s="27"/>
      <c r="D41" s="27"/>
      <c r="E41" s="27"/>
      <c r="F41" s="27"/>
      <c r="G41" s="28">
        <f>COUNTIF(G9:G36,"OK")</f>
        <v>0</v>
      </c>
      <c r="H41" s="28"/>
    </row>
    <row r="42" spans="1:8" ht="15" customHeight="1" x14ac:dyDescent="0.2">
      <c r="A42" s="27" t="s">
        <v>224</v>
      </c>
      <c r="B42" s="27"/>
      <c r="C42" s="27"/>
      <c r="D42" s="27"/>
      <c r="E42" s="27"/>
      <c r="F42" s="27"/>
      <c r="G42" s="28">
        <f>COUNTIF(G9:G36,"NG")</f>
        <v>0</v>
      </c>
      <c r="H42" s="28"/>
    </row>
    <row r="43" spans="1:8" ht="15" customHeight="1" x14ac:dyDescent="0.2">
      <c r="A43" s="27" t="s">
        <v>225</v>
      </c>
      <c r="B43" s="27"/>
      <c r="C43" s="27"/>
      <c r="D43" s="27"/>
      <c r="E43" s="27"/>
      <c r="F43" s="27"/>
      <c r="G43" s="28">
        <f>COUNTIF(G9:G36,"N/A")</f>
        <v>0</v>
      </c>
      <c r="H43" s="28"/>
    </row>
    <row r="44" spans="1:8" ht="15" customHeight="1" x14ac:dyDescent="0.2">
      <c r="A44" s="27" t="s">
        <v>226</v>
      </c>
      <c r="B44" s="27"/>
      <c r="C44" s="27"/>
      <c r="D44" s="27"/>
      <c r="E44" s="27"/>
      <c r="F44" s="27"/>
      <c r="G44" s="28">
        <f>COUNTIFS(E9:E36,"◆",G9:G36,"NG")</f>
        <v>0</v>
      </c>
      <c r="H44" s="28"/>
    </row>
    <row r="45" spans="1:8" ht="15" customHeight="1" x14ac:dyDescent="0.2">
      <c r="A45" s="27" t="s">
        <v>227</v>
      </c>
      <c r="B45" s="27"/>
      <c r="C45" s="27"/>
      <c r="D45" s="27"/>
      <c r="E45" s="27"/>
      <c r="F45" s="27"/>
      <c r="G45" s="29">
        <f>IF(COUNTA(E9:E36)=0,0,COUNTA(G9:G36)/COUNTA(E9:E36))</f>
        <v>0</v>
      </c>
      <c r="H45" s="29"/>
    </row>
    <row r="46" spans="1:8" ht="27.75" customHeight="1" x14ac:dyDescent="0.2">
      <c r="A46" s="30" t="s">
        <v>228</v>
      </c>
      <c r="B46" s="30"/>
      <c r="C46" s="31" t="str">
        <f>IF(COUNTA(E9:E36)=0,"— chưa nhập / not started —",IF(COUNTIFS(E9:E36,"◆",G9:G36,"NG")&gt;0,"✗ KHÔNG ĐẠT — DỪNG / FAIL — STOP",IF(COUNTA(G9:G36)&lt;COUNTA(E9:E36),"… CHƯA KIỂM ĐỦ / INCOMPLETE",IF(COUNTIF(G9:G36,"NG")&gt;0,"▲ ĐẠT CÓ ĐIỀU KIỆN / CONDITIONAL PASS","✓ ĐẠT — ĐƯỢC CHẠY SX / PASS — RELEASE"))))</f>
        <v>… CHƯA KIỂM ĐỦ / INCOMPLETE</v>
      </c>
      <c r="D46" s="31"/>
      <c r="E46" s="31"/>
      <c r="F46" s="31"/>
      <c r="G46" s="31"/>
      <c r="H46" s="31"/>
    </row>
    <row r="48" spans="1:8" ht="15" customHeight="1" x14ac:dyDescent="0.2">
      <c r="A48" s="25" t="s">
        <v>229</v>
      </c>
      <c r="B48" s="25"/>
      <c r="C48" s="25"/>
      <c r="D48" s="25" t="s">
        <v>230</v>
      </c>
      <c r="E48" s="25"/>
      <c r="F48" s="25"/>
      <c r="G48" s="25" t="s">
        <v>231</v>
      </c>
      <c r="H48" s="25"/>
    </row>
    <row r="51" spans="1:8" ht="19.5" customHeight="1" x14ac:dyDescent="0.2">
      <c r="A51" s="26" t="s">
        <v>232</v>
      </c>
      <c r="B51" s="26"/>
      <c r="C51" s="26"/>
      <c r="D51" s="26" t="s">
        <v>232</v>
      </c>
      <c r="E51" s="26"/>
      <c r="F51" s="26"/>
      <c r="G51" s="26" t="s">
        <v>232</v>
      </c>
      <c r="H51" s="26"/>
    </row>
  </sheetData>
  <mergeCells count="35">
    <mergeCell ref="A1:H1"/>
    <mergeCell ref="A2:H2"/>
    <mergeCell ref="E3:F3"/>
    <mergeCell ref="G3:H3"/>
    <mergeCell ref="E4:F4"/>
    <mergeCell ref="G4:H4"/>
    <mergeCell ref="E5:F5"/>
    <mergeCell ref="G5:H5"/>
    <mergeCell ref="A8:H8"/>
    <mergeCell ref="A20:H20"/>
    <mergeCell ref="A25:H25"/>
    <mergeCell ref="A31:H31"/>
    <mergeCell ref="A38:H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6:B46"/>
    <mergeCell ref="C46:H46"/>
    <mergeCell ref="A48:C48"/>
    <mergeCell ref="D48:F48"/>
    <mergeCell ref="G48:H48"/>
    <mergeCell ref="A51:C51"/>
    <mergeCell ref="D51:F51"/>
    <mergeCell ref="G51:H51"/>
  </mergeCells>
  <conditionalFormatting sqref="C46">
    <cfRule type="expression" dxfId="14" priority="5">
      <formula>ISNUMBER(SEARCH("KHÔNG ĐẠT",C46))</formula>
    </cfRule>
    <cfRule type="expression" dxfId="13" priority="6">
      <formula>ISNUMBER(SEARCH("ĐƯỢC CHẠY",C46))</formula>
    </cfRule>
    <cfRule type="expression" dxfId="12" priority="7">
      <formula>ISNUMBER(SEARCH("ĐIỀU KIỆN",C46))</formula>
    </cfRule>
  </conditionalFormatting>
  <conditionalFormatting sqref="G9:G36">
    <cfRule type="cellIs" dxfId="11" priority="2" operator="equal">
      <formula>"NG"</formula>
    </cfRule>
    <cfRule type="cellIs" dxfId="10" priority="3" operator="equal">
      <formula>"OK"</formula>
    </cfRule>
    <cfRule type="cellIs" dxfId="9" priority="4" operator="equal">
      <formula>"N/A"</formula>
    </cfRule>
  </conditionalFormatting>
  <dataValidations count="1">
    <dataValidation type="list" allowBlank="1" showInputMessage="1" showErrorMessage="1" sqref="G9:G36" xr:uid="{00000000-0002-0000-0200-000000000000}">
      <formula1>"OK,NG,N/A"</formula1>
      <formula2>0</formula2>
    </dataValidation>
  </dataValidations>
  <printOptions horizontalCentered="1"/>
  <pageMargins left="0.3" right="0.3" top="1" bottom="1" header="0.511811023622047" footer="0.511811023622047"/>
  <pageSetup scale="72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53"/>
  <sheetViews>
    <sheetView showGridLines="0" topLeftCell="B1" zoomScale="175" zoomScaleNormal="100" workbookViewId="0">
      <pane ySplit="7" topLeftCell="A8" activePane="bottomLeft" state="frozen"/>
      <selection pane="bottomLeft" activeCell="O19" sqref="O19"/>
    </sheetView>
  </sheetViews>
  <sheetFormatPr baseColWidth="10" defaultColWidth="8.6640625" defaultRowHeight="15" x14ac:dyDescent="0.2"/>
  <cols>
    <col min="1" max="1" width="5.5" customWidth="1"/>
    <col min="2" max="3" width="34" customWidth="1"/>
    <col min="4" max="4" width="28" customWidth="1"/>
    <col min="5" max="5" width="5.5" customWidth="1"/>
    <col min="6" max="6" width="18" customWidth="1"/>
    <col min="7" max="7" width="9" customWidth="1"/>
    <col min="8" max="8" width="16" customWidth="1"/>
  </cols>
  <sheetData>
    <row r="1" spans="1:8" ht="25.5" customHeight="1" x14ac:dyDescent="0.2">
      <c r="A1" s="39" t="s">
        <v>298</v>
      </c>
      <c r="B1" s="39"/>
      <c r="C1" s="39"/>
      <c r="D1" s="39"/>
      <c r="E1" s="39"/>
      <c r="F1" s="39"/>
      <c r="G1" s="39"/>
      <c r="H1" s="39"/>
    </row>
    <row r="2" spans="1:8" ht="15" customHeight="1" x14ac:dyDescent="0.2">
      <c r="A2" s="40" t="s">
        <v>299</v>
      </c>
      <c r="B2" s="40"/>
      <c r="C2" s="40"/>
      <c r="D2" s="40"/>
      <c r="E2" s="40"/>
      <c r="F2" s="40"/>
      <c r="G2" s="40"/>
      <c r="H2" s="40"/>
    </row>
    <row r="3" spans="1:8" ht="15" customHeight="1" x14ac:dyDescent="0.2">
      <c r="A3" s="8" t="s">
        <v>36</v>
      </c>
      <c r="B3" s="9"/>
      <c r="C3" s="1" t="s">
        <v>37</v>
      </c>
      <c r="D3" s="9"/>
      <c r="E3" s="34" t="s">
        <v>38</v>
      </c>
      <c r="F3" s="34"/>
      <c r="G3" s="35"/>
      <c r="H3" s="35"/>
    </row>
    <row r="4" spans="1:8" ht="15" customHeight="1" x14ac:dyDescent="0.2">
      <c r="A4" s="8" t="s">
        <v>39</v>
      </c>
      <c r="B4" s="9"/>
      <c r="C4" s="1" t="s">
        <v>40</v>
      </c>
      <c r="D4" s="9"/>
      <c r="E4" s="34" t="s">
        <v>41</v>
      </c>
      <c r="F4" s="34"/>
      <c r="G4" s="35"/>
      <c r="H4" s="35"/>
    </row>
    <row r="5" spans="1:8" ht="15" customHeight="1" x14ac:dyDescent="0.2">
      <c r="A5" s="8" t="s">
        <v>42</v>
      </c>
      <c r="B5" s="9"/>
      <c r="C5" s="1" t="s">
        <v>43</v>
      </c>
      <c r="D5" s="9"/>
      <c r="E5" s="34" t="s">
        <v>44</v>
      </c>
      <c r="F5" s="34"/>
      <c r="G5" s="35"/>
      <c r="H5" s="35"/>
    </row>
    <row r="7" spans="1:8" ht="25.5" customHeight="1" x14ac:dyDescent="0.2">
      <c r="A7" s="10" t="s">
        <v>45</v>
      </c>
      <c r="B7" s="10" t="s">
        <v>46</v>
      </c>
      <c r="C7" s="10" t="s">
        <v>47</v>
      </c>
      <c r="D7" s="10" t="s">
        <v>48</v>
      </c>
      <c r="E7" s="10" t="s">
        <v>49</v>
      </c>
      <c r="F7" s="10" t="s">
        <v>50</v>
      </c>
      <c r="G7" s="10" t="s">
        <v>51</v>
      </c>
      <c r="H7" s="10" t="s">
        <v>52</v>
      </c>
    </row>
    <row r="8" spans="1:8" ht="18" customHeight="1" x14ac:dyDescent="0.2">
      <c r="A8" s="36" t="s">
        <v>53</v>
      </c>
      <c r="B8" s="36"/>
      <c r="C8" s="36"/>
      <c r="D8" s="36"/>
      <c r="E8" s="36"/>
      <c r="F8" s="36"/>
      <c r="G8" s="36"/>
      <c r="H8" s="36"/>
    </row>
    <row r="9" spans="1:8" ht="26" x14ac:dyDescent="0.2">
      <c r="A9" s="11" t="s">
        <v>54</v>
      </c>
      <c r="B9" s="12" t="s">
        <v>300</v>
      </c>
      <c r="C9" s="13" t="s">
        <v>301</v>
      </c>
      <c r="D9" s="14" t="s">
        <v>302</v>
      </c>
      <c r="E9" s="15" t="s">
        <v>58</v>
      </c>
      <c r="F9" s="16" t="s">
        <v>59</v>
      </c>
      <c r="G9" s="17"/>
      <c r="H9" s="16" t="s">
        <v>303</v>
      </c>
    </row>
    <row r="10" spans="1:8" ht="26" x14ac:dyDescent="0.2">
      <c r="A10" s="11" t="s">
        <v>61</v>
      </c>
      <c r="B10" s="12" t="s">
        <v>304</v>
      </c>
      <c r="C10" s="13" t="s">
        <v>305</v>
      </c>
      <c r="D10" s="14" t="s">
        <v>306</v>
      </c>
      <c r="E10" s="15" t="s">
        <v>58</v>
      </c>
      <c r="F10" s="16" t="s">
        <v>59</v>
      </c>
      <c r="G10" s="17"/>
      <c r="H10" s="16" t="s">
        <v>307</v>
      </c>
    </row>
    <row r="11" spans="1:8" ht="26" x14ac:dyDescent="0.2">
      <c r="A11" s="11" t="s">
        <v>66</v>
      </c>
      <c r="B11" s="12" t="s">
        <v>308</v>
      </c>
      <c r="C11" s="13" t="s">
        <v>309</v>
      </c>
      <c r="D11" s="14" t="s">
        <v>310</v>
      </c>
      <c r="E11" s="18" t="s">
        <v>75</v>
      </c>
      <c r="F11" s="16" t="s">
        <v>76</v>
      </c>
      <c r="G11" s="17"/>
      <c r="H11" s="16" t="s">
        <v>87</v>
      </c>
    </row>
    <row r="12" spans="1:8" ht="26" x14ac:dyDescent="0.2">
      <c r="A12" s="11" t="s">
        <v>71</v>
      </c>
      <c r="B12" s="12" t="s">
        <v>311</v>
      </c>
      <c r="C12" s="13" t="s">
        <v>312</v>
      </c>
      <c r="D12" s="14" t="s">
        <v>306</v>
      </c>
      <c r="E12" s="18" t="s">
        <v>75</v>
      </c>
      <c r="F12" s="16" t="s">
        <v>76</v>
      </c>
      <c r="G12" s="17"/>
      <c r="H12" s="16" t="s">
        <v>313</v>
      </c>
    </row>
    <row r="13" spans="1:8" ht="26" x14ac:dyDescent="0.2">
      <c r="A13" s="11" t="s">
        <v>78</v>
      </c>
      <c r="B13" s="12" t="s">
        <v>314</v>
      </c>
      <c r="C13" s="13" t="s">
        <v>315</v>
      </c>
      <c r="D13" s="14" t="s">
        <v>316</v>
      </c>
      <c r="E13" s="18" t="s">
        <v>75</v>
      </c>
      <c r="F13" s="16" t="s">
        <v>76</v>
      </c>
      <c r="G13" s="17"/>
      <c r="H13" s="16" t="s">
        <v>87</v>
      </c>
    </row>
    <row r="14" spans="1:8" ht="26" x14ac:dyDescent="0.2">
      <c r="A14" s="11" t="s">
        <v>83</v>
      </c>
      <c r="B14" s="12" t="s">
        <v>317</v>
      </c>
      <c r="C14" s="13" t="s">
        <v>318</v>
      </c>
      <c r="D14" s="14" t="s">
        <v>319</v>
      </c>
      <c r="E14" s="15" t="s">
        <v>58</v>
      </c>
      <c r="F14" s="16" t="s">
        <v>59</v>
      </c>
      <c r="G14" s="17"/>
      <c r="H14" s="16" t="s">
        <v>320</v>
      </c>
    </row>
    <row r="15" spans="1:8" ht="26" x14ac:dyDescent="0.2">
      <c r="A15" s="11" t="s">
        <v>88</v>
      </c>
      <c r="B15" s="12" t="s">
        <v>321</v>
      </c>
      <c r="C15" s="13" t="s">
        <v>322</v>
      </c>
      <c r="D15" s="14" t="s">
        <v>252</v>
      </c>
      <c r="E15" s="18" t="s">
        <v>75</v>
      </c>
      <c r="F15" s="16" t="s">
        <v>76</v>
      </c>
      <c r="G15" s="17"/>
      <c r="H15" s="16" t="s">
        <v>323</v>
      </c>
    </row>
    <row r="16" spans="1:8" ht="26" x14ac:dyDescent="0.2">
      <c r="A16" s="11" t="s">
        <v>92</v>
      </c>
      <c r="B16" s="12" t="s">
        <v>324</v>
      </c>
      <c r="C16" s="13" t="s">
        <v>325</v>
      </c>
      <c r="D16" s="14" t="s">
        <v>326</v>
      </c>
      <c r="E16" s="18" t="s">
        <v>75</v>
      </c>
      <c r="F16" s="16" t="s">
        <v>76</v>
      </c>
      <c r="G16" s="17"/>
      <c r="H16" s="16" t="s">
        <v>327</v>
      </c>
    </row>
    <row r="17" spans="1:8" ht="26" x14ac:dyDescent="0.2">
      <c r="A17" s="11" t="s">
        <v>97</v>
      </c>
      <c r="B17" s="12" t="s">
        <v>328</v>
      </c>
      <c r="C17" s="13" t="s">
        <v>329</v>
      </c>
      <c r="D17" s="14" t="s">
        <v>330</v>
      </c>
      <c r="E17" s="18" t="s">
        <v>75</v>
      </c>
      <c r="F17" s="16" t="s">
        <v>76</v>
      </c>
      <c r="G17" s="17"/>
      <c r="H17" s="16" t="s">
        <v>110</v>
      </c>
    </row>
    <row r="18" spans="1:8" ht="26" x14ac:dyDescent="0.2">
      <c r="A18" s="11" t="s">
        <v>101</v>
      </c>
      <c r="B18" s="12" t="s">
        <v>331</v>
      </c>
      <c r="C18" s="13" t="s">
        <v>332</v>
      </c>
      <c r="D18" s="14" t="s">
        <v>333</v>
      </c>
      <c r="E18" s="18" t="s">
        <v>75</v>
      </c>
      <c r="F18" s="16" t="s">
        <v>76</v>
      </c>
      <c r="G18" s="17"/>
      <c r="H18" s="16" t="s">
        <v>115</v>
      </c>
    </row>
    <row r="19" spans="1:8" ht="39" x14ac:dyDescent="0.2">
      <c r="A19" s="11" t="s">
        <v>106</v>
      </c>
      <c r="B19" s="12" t="s">
        <v>334</v>
      </c>
      <c r="C19" s="13" t="s">
        <v>335</v>
      </c>
      <c r="D19" s="14" t="s">
        <v>336</v>
      </c>
      <c r="E19" s="18" t="s">
        <v>75</v>
      </c>
      <c r="F19" s="16" t="s">
        <v>76</v>
      </c>
      <c r="G19" s="17"/>
      <c r="H19" s="16" t="s">
        <v>337</v>
      </c>
    </row>
    <row r="20" spans="1:8" ht="26" x14ac:dyDescent="0.2">
      <c r="A20" s="11" t="s">
        <v>111</v>
      </c>
      <c r="B20" s="12" t="s">
        <v>338</v>
      </c>
      <c r="C20" s="13" t="s">
        <v>339</v>
      </c>
      <c r="D20" s="14" t="s">
        <v>74</v>
      </c>
      <c r="E20" s="19" t="s">
        <v>124</v>
      </c>
      <c r="F20" s="16" t="s">
        <v>125</v>
      </c>
      <c r="G20" s="17"/>
      <c r="H20" s="16" t="s">
        <v>77</v>
      </c>
    </row>
    <row r="21" spans="1:8" ht="18" customHeight="1" x14ac:dyDescent="0.2">
      <c r="A21" s="37" t="s">
        <v>132</v>
      </c>
      <c r="B21" s="37"/>
      <c r="C21" s="37"/>
      <c r="D21" s="37"/>
      <c r="E21" s="37"/>
      <c r="F21" s="37"/>
      <c r="G21" s="37"/>
      <c r="H21" s="37"/>
    </row>
    <row r="22" spans="1:8" ht="52" x14ac:dyDescent="0.2">
      <c r="A22" s="11" t="s">
        <v>133</v>
      </c>
      <c r="B22" s="12" t="s">
        <v>340</v>
      </c>
      <c r="C22" s="13" t="s">
        <v>341</v>
      </c>
      <c r="D22" s="14" t="s">
        <v>342</v>
      </c>
      <c r="E22" s="15" t="s">
        <v>58</v>
      </c>
      <c r="F22" s="16" t="s">
        <v>59</v>
      </c>
      <c r="G22" s="17"/>
      <c r="H22" s="16" t="s">
        <v>343</v>
      </c>
    </row>
    <row r="23" spans="1:8" ht="26" x14ac:dyDescent="0.2">
      <c r="A23" s="11" t="s">
        <v>138</v>
      </c>
      <c r="B23" s="12" t="s">
        <v>344</v>
      </c>
      <c r="C23" s="13" t="s">
        <v>345</v>
      </c>
      <c r="D23" s="14" t="s">
        <v>346</v>
      </c>
      <c r="E23" s="15" t="s">
        <v>58</v>
      </c>
      <c r="F23" s="16" t="s">
        <v>59</v>
      </c>
      <c r="G23" s="17"/>
      <c r="H23" s="16"/>
    </row>
    <row r="24" spans="1:8" ht="26" x14ac:dyDescent="0.2">
      <c r="A24" s="11" t="s">
        <v>142</v>
      </c>
      <c r="B24" s="12" t="s">
        <v>347</v>
      </c>
      <c r="C24" s="13" t="s">
        <v>348</v>
      </c>
      <c r="D24" s="14" t="s">
        <v>349</v>
      </c>
      <c r="E24" s="15" t="s">
        <v>58</v>
      </c>
      <c r="F24" s="16" t="s">
        <v>59</v>
      </c>
      <c r="G24" s="17"/>
      <c r="H24" s="16" t="s">
        <v>350</v>
      </c>
    </row>
    <row r="25" spans="1:8" ht="26" x14ac:dyDescent="0.2">
      <c r="A25" s="11" t="s">
        <v>146</v>
      </c>
      <c r="B25" s="12" t="s">
        <v>351</v>
      </c>
      <c r="C25" s="13" t="s">
        <v>352</v>
      </c>
      <c r="D25" s="14" t="s">
        <v>353</v>
      </c>
      <c r="E25" s="18" t="s">
        <v>75</v>
      </c>
      <c r="F25" s="16" t="s">
        <v>76</v>
      </c>
      <c r="G25" s="17"/>
      <c r="H25" s="16"/>
    </row>
    <row r="26" spans="1:8" ht="26" x14ac:dyDescent="0.2">
      <c r="A26" s="11" t="s">
        <v>151</v>
      </c>
      <c r="B26" s="12" t="s">
        <v>354</v>
      </c>
      <c r="C26" s="13" t="s">
        <v>355</v>
      </c>
      <c r="D26" s="14" t="s">
        <v>356</v>
      </c>
      <c r="E26" s="18" t="s">
        <v>75</v>
      </c>
      <c r="F26" s="16" t="s">
        <v>76</v>
      </c>
      <c r="G26" s="17"/>
      <c r="H26" s="16"/>
    </row>
    <row r="27" spans="1:8" ht="39" x14ac:dyDescent="0.2">
      <c r="A27" s="11" t="s">
        <v>156</v>
      </c>
      <c r="B27" s="12" t="s">
        <v>357</v>
      </c>
      <c r="C27" s="13" t="s">
        <v>358</v>
      </c>
      <c r="D27" s="14" t="s">
        <v>359</v>
      </c>
      <c r="E27" s="18" t="s">
        <v>75</v>
      </c>
      <c r="F27" s="16" t="s">
        <v>76</v>
      </c>
      <c r="G27" s="17"/>
      <c r="H27" s="16"/>
    </row>
    <row r="28" spans="1:8" ht="18" customHeight="1" x14ac:dyDescent="0.2">
      <c r="A28" s="38" t="s">
        <v>164</v>
      </c>
      <c r="B28" s="38"/>
      <c r="C28" s="38"/>
      <c r="D28" s="38"/>
      <c r="E28" s="38"/>
      <c r="F28" s="38"/>
      <c r="G28" s="38"/>
      <c r="H28" s="38"/>
    </row>
    <row r="29" spans="1:8" ht="26" x14ac:dyDescent="0.2">
      <c r="A29" s="11" t="s">
        <v>165</v>
      </c>
      <c r="B29" s="12" t="s">
        <v>360</v>
      </c>
      <c r="C29" s="13" t="s">
        <v>361</v>
      </c>
      <c r="D29" s="14" t="s">
        <v>362</v>
      </c>
      <c r="E29" s="18" t="s">
        <v>75</v>
      </c>
      <c r="F29" s="16" t="s">
        <v>76</v>
      </c>
      <c r="G29" s="17"/>
      <c r="H29" s="16" t="s">
        <v>363</v>
      </c>
    </row>
    <row r="30" spans="1:8" ht="26" x14ac:dyDescent="0.2">
      <c r="A30" s="11" t="s">
        <v>170</v>
      </c>
      <c r="B30" s="12" t="s">
        <v>364</v>
      </c>
      <c r="C30" s="13" t="s">
        <v>365</v>
      </c>
      <c r="D30" s="14" t="s">
        <v>74</v>
      </c>
      <c r="E30" s="18" t="s">
        <v>75</v>
      </c>
      <c r="F30" s="16" t="s">
        <v>76</v>
      </c>
      <c r="G30" s="17"/>
      <c r="H30" s="16" t="s">
        <v>366</v>
      </c>
    </row>
    <row r="31" spans="1:8" ht="26" x14ac:dyDescent="0.2">
      <c r="A31" s="11" t="s">
        <v>175</v>
      </c>
      <c r="B31" s="12" t="s">
        <v>367</v>
      </c>
      <c r="C31" s="13" t="s">
        <v>185</v>
      </c>
      <c r="D31" s="14" t="s">
        <v>186</v>
      </c>
      <c r="E31" s="18" t="s">
        <v>75</v>
      </c>
      <c r="F31" s="16" t="s">
        <v>76</v>
      </c>
      <c r="G31" s="17"/>
      <c r="H31" s="16" t="s">
        <v>368</v>
      </c>
    </row>
    <row r="32" spans="1:8" ht="26" x14ac:dyDescent="0.2">
      <c r="A32" s="11" t="s">
        <v>179</v>
      </c>
      <c r="B32" s="12" t="s">
        <v>369</v>
      </c>
      <c r="C32" s="13" t="s">
        <v>370</v>
      </c>
      <c r="D32" s="14" t="s">
        <v>371</v>
      </c>
      <c r="E32" s="19" t="s">
        <v>124</v>
      </c>
      <c r="F32" s="16" t="s">
        <v>125</v>
      </c>
      <c r="G32" s="17"/>
      <c r="H32" s="16" t="s">
        <v>372</v>
      </c>
    </row>
    <row r="33" spans="1:8" ht="18" customHeight="1" x14ac:dyDescent="0.2">
      <c r="A33" s="32" t="s">
        <v>191</v>
      </c>
      <c r="B33" s="32"/>
      <c r="C33" s="32"/>
      <c r="D33" s="32"/>
      <c r="E33" s="32"/>
      <c r="F33" s="32"/>
      <c r="G33" s="32"/>
      <c r="H33" s="32"/>
    </row>
    <row r="34" spans="1:8" ht="48" x14ac:dyDescent="0.2">
      <c r="A34" s="11" t="s">
        <v>192</v>
      </c>
      <c r="B34" s="12" t="s">
        <v>373</v>
      </c>
      <c r="C34" s="13" t="s">
        <v>200</v>
      </c>
      <c r="D34" s="14" t="s">
        <v>291</v>
      </c>
      <c r="E34" s="15" t="s">
        <v>58</v>
      </c>
      <c r="F34" s="16" t="s">
        <v>196</v>
      </c>
      <c r="G34" s="17"/>
      <c r="H34" s="16" t="s">
        <v>363</v>
      </c>
    </row>
    <row r="35" spans="1:8" ht="48" x14ac:dyDescent="0.2">
      <c r="A35" s="11" t="s">
        <v>198</v>
      </c>
      <c r="B35" s="12" t="s">
        <v>203</v>
      </c>
      <c r="C35" s="13" t="s">
        <v>374</v>
      </c>
      <c r="D35" s="14" t="s">
        <v>205</v>
      </c>
      <c r="E35" s="15" t="s">
        <v>58</v>
      </c>
      <c r="F35" s="16" t="s">
        <v>196</v>
      </c>
      <c r="G35" s="17"/>
      <c r="H35" s="16" t="s">
        <v>197</v>
      </c>
    </row>
    <row r="36" spans="1:8" ht="48" x14ac:dyDescent="0.2">
      <c r="A36" s="11" t="s">
        <v>202</v>
      </c>
      <c r="B36" s="12" t="s">
        <v>375</v>
      </c>
      <c r="C36" s="13" t="s">
        <v>376</v>
      </c>
      <c r="D36" s="14" t="s">
        <v>377</v>
      </c>
      <c r="E36" s="15" t="s">
        <v>58</v>
      </c>
      <c r="F36" s="16" t="s">
        <v>196</v>
      </c>
      <c r="G36" s="17"/>
      <c r="H36" s="16" t="s">
        <v>378</v>
      </c>
    </row>
    <row r="37" spans="1:8" ht="48" x14ac:dyDescent="0.2">
      <c r="A37" s="11" t="s">
        <v>206</v>
      </c>
      <c r="B37" s="12" t="s">
        <v>379</v>
      </c>
      <c r="C37" s="13" t="s">
        <v>380</v>
      </c>
      <c r="D37" s="14" t="s">
        <v>218</v>
      </c>
      <c r="E37" s="18" t="s">
        <v>75</v>
      </c>
      <c r="F37" s="16" t="s">
        <v>196</v>
      </c>
      <c r="G37" s="17"/>
      <c r="H37" s="16" t="s">
        <v>381</v>
      </c>
    </row>
    <row r="38" spans="1:8" ht="48" x14ac:dyDescent="0.2">
      <c r="A38" s="11" t="s">
        <v>210</v>
      </c>
      <c r="B38" s="12" t="s">
        <v>382</v>
      </c>
      <c r="C38" s="13" t="s">
        <v>383</v>
      </c>
      <c r="D38" s="14" t="s">
        <v>384</v>
      </c>
      <c r="E38" s="18" t="s">
        <v>75</v>
      </c>
      <c r="F38" s="16" t="s">
        <v>196</v>
      </c>
      <c r="G38" s="17"/>
      <c r="H38" s="16" t="s">
        <v>385</v>
      </c>
    </row>
    <row r="40" spans="1:8" ht="19.5" customHeight="1" x14ac:dyDescent="0.2">
      <c r="A40" s="33" t="s">
        <v>220</v>
      </c>
      <c r="B40" s="33"/>
      <c r="C40" s="33"/>
      <c r="D40" s="33"/>
      <c r="E40" s="33"/>
      <c r="F40" s="33"/>
      <c r="G40" s="33"/>
      <c r="H40" s="33"/>
    </row>
    <row r="41" spans="1:8" ht="15" customHeight="1" x14ac:dyDescent="0.2">
      <c r="A41" s="27" t="s">
        <v>221</v>
      </c>
      <c r="B41" s="27"/>
      <c r="C41" s="27"/>
      <c r="D41" s="27"/>
      <c r="E41" s="27"/>
      <c r="F41" s="27"/>
      <c r="G41" s="28">
        <f>COUNTA(E9:E38)</f>
        <v>27</v>
      </c>
      <c r="H41" s="28"/>
    </row>
    <row r="42" spans="1:8" ht="15" customHeight="1" x14ac:dyDescent="0.2">
      <c r="A42" s="27" t="s">
        <v>222</v>
      </c>
      <c r="B42" s="27"/>
      <c r="C42" s="27"/>
      <c r="D42" s="27"/>
      <c r="E42" s="27"/>
      <c r="F42" s="27"/>
      <c r="G42" s="28">
        <f>COUNTA(G9:G38)</f>
        <v>0</v>
      </c>
      <c r="H42" s="28"/>
    </row>
    <row r="43" spans="1:8" ht="15" customHeight="1" x14ac:dyDescent="0.2">
      <c r="A43" s="27" t="s">
        <v>223</v>
      </c>
      <c r="B43" s="27"/>
      <c r="C43" s="27"/>
      <c r="D43" s="27"/>
      <c r="E43" s="27"/>
      <c r="F43" s="27"/>
      <c r="G43" s="28">
        <f>COUNTIF(G9:G38,"OK")</f>
        <v>0</v>
      </c>
      <c r="H43" s="28"/>
    </row>
    <row r="44" spans="1:8" ht="15" customHeight="1" x14ac:dyDescent="0.2">
      <c r="A44" s="27" t="s">
        <v>224</v>
      </c>
      <c r="B44" s="27"/>
      <c r="C44" s="27"/>
      <c r="D44" s="27"/>
      <c r="E44" s="27"/>
      <c r="F44" s="27"/>
      <c r="G44" s="28">
        <f>COUNTIF(G9:G38,"NG")</f>
        <v>0</v>
      </c>
      <c r="H44" s="28"/>
    </row>
    <row r="45" spans="1:8" ht="15" customHeight="1" x14ac:dyDescent="0.2">
      <c r="A45" s="27" t="s">
        <v>225</v>
      </c>
      <c r="B45" s="27"/>
      <c r="C45" s="27"/>
      <c r="D45" s="27"/>
      <c r="E45" s="27"/>
      <c r="F45" s="27"/>
      <c r="G45" s="28">
        <f>COUNTIF(G9:G38,"N/A")</f>
        <v>0</v>
      </c>
      <c r="H45" s="28"/>
    </row>
    <row r="46" spans="1:8" ht="15" customHeight="1" x14ac:dyDescent="0.2">
      <c r="A46" s="27" t="s">
        <v>226</v>
      </c>
      <c r="B46" s="27"/>
      <c r="C46" s="27"/>
      <c r="D46" s="27"/>
      <c r="E46" s="27"/>
      <c r="F46" s="27"/>
      <c r="G46" s="28">
        <f>COUNTIFS(E9:E38,"◆",G9:G38,"NG")</f>
        <v>0</v>
      </c>
      <c r="H46" s="28"/>
    </row>
    <row r="47" spans="1:8" ht="15" customHeight="1" x14ac:dyDescent="0.2">
      <c r="A47" s="27" t="s">
        <v>227</v>
      </c>
      <c r="B47" s="27"/>
      <c r="C47" s="27"/>
      <c r="D47" s="27"/>
      <c r="E47" s="27"/>
      <c r="F47" s="27"/>
      <c r="G47" s="29">
        <f>IF(COUNTA(E9:E38)=0,0,COUNTA(G9:G38)/COUNTA(E9:E38))</f>
        <v>0</v>
      </c>
      <c r="H47" s="29"/>
    </row>
    <row r="48" spans="1:8" ht="27.75" customHeight="1" x14ac:dyDescent="0.2">
      <c r="A48" s="30" t="s">
        <v>228</v>
      </c>
      <c r="B48" s="30"/>
      <c r="C48" s="31" t="str">
        <f>IF(COUNTA(E9:E38)=0,"— chưa nhập / not started —",IF(COUNTIFS(E9:E38,"◆",G9:G38,"NG")&gt;0,"✗ KHÔNG ĐẠT — DỪNG / FAIL — STOP",IF(COUNTA(G9:G38)&lt;COUNTA(E9:E38),"… CHƯA KIỂM ĐỦ / INCOMPLETE",IF(COUNTIF(G9:G38,"NG")&gt;0,"▲ ĐẠT CÓ ĐIỀU KIỆN / CONDITIONAL PASS","✓ ĐẠT — ĐƯỢC CHẠY SX / PASS — RELEASE"))))</f>
        <v>… CHƯA KIỂM ĐỦ / INCOMPLETE</v>
      </c>
      <c r="D48" s="31"/>
      <c r="E48" s="31"/>
      <c r="F48" s="31"/>
      <c r="G48" s="31"/>
      <c r="H48" s="31"/>
    </row>
    <row r="50" spans="1:8" ht="15" customHeight="1" x14ac:dyDescent="0.2">
      <c r="A50" s="25" t="s">
        <v>229</v>
      </c>
      <c r="B50" s="25"/>
      <c r="C50" s="25"/>
      <c r="D50" s="25" t="s">
        <v>230</v>
      </c>
      <c r="E50" s="25"/>
      <c r="F50" s="25"/>
      <c r="G50" s="25" t="s">
        <v>231</v>
      </c>
      <c r="H50" s="25"/>
    </row>
    <row r="53" spans="1:8" ht="19.5" customHeight="1" x14ac:dyDescent="0.2">
      <c r="A53" s="26" t="s">
        <v>232</v>
      </c>
      <c r="B53" s="26"/>
      <c r="C53" s="26"/>
      <c r="D53" s="26" t="s">
        <v>232</v>
      </c>
      <c r="E53" s="26"/>
      <c r="F53" s="26"/>
      <c r="G53" s="26" t="s">
        <v>232</v>
      </c>
      <c r="H53" s="26"/>
    </row>
  </sheetData>
  <mergeCells count="35">
    <mergeCell ref="A1:H1"/>
    <mergeCell ref="A2:H2"/>
    <mergeCell ref="E3:F3"/>
    <mergeCell ref="G3:H3"/>
    <mergeCell ref="E4:F4"/>
    <mergeCell ref="G4:H4"/>
    <mergeCell ref="E5:F5"/>
    <mergeCell ref="G5:H5"/>
    <mergeCell ref="A8:H8"/>
    <mergeCell ref="A21:H21"/>
    <mergeCell ref="A28:H28"/>
    <mergeCell ref="A33:H33"/>
    <mergeCell ref="A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6:F46"/>
    <mergeCell ref="G46:H46"/>
    <mergeCell ref="A47:F47"/>
    <mergeCell ref="G47:H47"/>
    <mergeCell ref="A48:B48"/>
    <mergeCell ref="C48:H48"/>
    <mergeCell ref="A50:C50"/>
    <mergeCell ref="D50:F50"/>
    <mergeCell ref="G50:H50"/>
    <mergeCell ref="A53:C53"/>
    <mergeCell ref="D53:F53"/>
    <mergeCell ref="G53:H53"/>
  </mergeCells>
  <conditionalFormatting sqref="C48">
    <cfRule type="expression" dxfId="8" priority="5">
      <formula>ISNUMBER(SEARCH("KHÔNG ĐẠT",C48))</formula>
    </cfRule>
    <cfRule type="expression" dxfId="7" priority="6">
      <formula>ISNUMBER(SEARCH("ĐƯỢC CHẠY",C48))</formula>
    </cfRule>
    <cfRule type="expression" dxfId="6" priority="7">
      <formula>ISNUMBER(SEARCH("ĐIỀU KIỆN",C48))</formula>
    </cfRule>
  </conditionalFormatting>
  <conditionalFormatting sqref="G9:G38">
    <cfRule type="cellIs" dxfId="5" priority="2" operator="equal">
      <formula>"NG"</formula>
    </cfRule>
    <cfRule type="cellIs" dxfId="4" priority="3" operator="equal">
      <formula>"OK"</formula>
    </cfRule>
    <cfRule type="cellIs" dxfId="3" priority="4" operator="equal">
      <formula>"N/A"</formula>
    </cfRule>
  </conditionalFormatting>
  <dataValidations count="1">
    <dataValidation type="list" allowBlank="1" showInputMessage="1" showErrorMessage="1" sqref="G9:G38" xr:uid="{00000000-0002-0000-0300-000000000000}">
      <formula1>"OK,NG,N/A"</formula1>
      <formula2>0</formula2>
    </dataValidation>
  </dataValidations>
  <printOptions horizontalCentered="1"/>
  <pageMargins left="0.3" right="0.3" top="1" bottom="1" header="0.511811023622047" footer="0.511811023622047"/>
  <pageSetup scale="83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32"/>
  <sheetViews>
    <sheetView showGridLines="0" topLeftCell="A18" zoomScale="150" zoomScaleNormal="100" workbookViewId="0">
      <selection activeCell="M33" sqref="M33"/>
    </sheetView>
  </sheetViews>
  <sheetFormatPr baseColWidth="10" defaultColWidth="8.6640625" defaultRowHeight="15" x14ac:dyDescent="0.2"/>
  <cols>
    <col min="1" max="1" width="11.6640625" customWidth="1"/>
    <col min="2" max="2" width="18" customWidth="1"/>
    <col min="3" max="3" width="11" customWidth="1"/>
    <col min="4" max="4" width="9" customWidth="1"/>
    <col min="5" max="8" width="11" customWidth="1"/>
    <col min="10" max="12" width="13" hidden="1" customWidth="1"/>
  </cols>
  <sheetData>
    <row r="1" spans="1:12" ht="24" customHeight="1" x14ac:dyDescent="0.2">
      <c r="A1" s="53" t="s">
        <v>386</v>
      </c>
      <c r="B1" s="53"/>
      <c r="C1" s="53"/>
      <c r="D1" s="53"/>
      <c r="E1" s="53"/>
      <c r="F1" s="53"/>
      <c r="G1" s="53"/>
      <c r="H1" s="53"/>
    </row>
    <row r="2" spans="1:12" ht="24" customHeight="1" x14ac:dyDescent="0.2">
      <c r="A2" s="54" t="s">
        <v>387</v>
      </c>
      <c r="B2" s="54"/>
      <c r="C2" s="54"/>
      <c r="D2" s="54"/>
      <c r="E2" s="54"/>
      <c r="F2" s="54"/>
      <c r="G2" s="54"/>
      <c r="H2" s="54"/>
    </row>
    <row r="4" spans="1:12" x14ac:dyDescent="0.2">
      <c r="A4" s="55" t="s">
        <v>388</v>
      </c>
      <c r="B4" s="55"/>
      <c r="C4" s="55"/>
      <c r="D4" s="55"/>
      <c r="E4" s="55"/>
      <c r="F4" s="55"/>
      <c r="G4" s="55"/>
      <c r="H4" s="55"/>
    </row>
    <row r="5" spans="1:12" ht="26" x14ac:dyDescent="0.2">
      <c r="A5" s="20" t="s">
        <v>389</v>
      </c>
      <c r="B5" s="20" t="s">
        <v>390</v>
      </c>
      <c r="C5" s="20" t="s">
        <v>391</v>
      </c>
      <c r="D5" s="20" t="s">
        <v>392</v>
      </c>
      <c r="E5" s="20" t="s">
        <v>393</v>
      </c>
      <c r="F5" s="20" t="s">
        <v>394</v>
      </c>
      <c r="G5" s="20" t="s">
        <v>395</v>
      </c>
      <c r="H5" s="20" t="s">
        <v>396</v>
      </c>
    </row>
    <row r="6" spans="1:12" x14ac:dyDescent="0.2">
      <c r="A6" s="21" t="s">
        <v>397</v>
      </c>
      <c r="B6" s="22" t="s">
        <v>398</v>
      </c>
      <c r="C6" s="21">
        <v>2</v>
      </c>
      <c r="D6" s="21" t="s">
        <v>399</v>
      </c>
      <c r="E6" s="21" t="s">
        <v>399</v>
      </c>
      <c r="F6" s="21" t="s">
        <v>399</v>
      </c>
      <c r="G6" s="21" t="s">
        <v>399</v>
      </c>
      <c r="H6" s="21" t="s">
        <v>399</v>
      </c>
      <c r="J6">
        <v>2</v>
      </c>
      <c r="K6" t="s">
        <v>398</v>
      </c>
      <c r="L6">
        <v>2</v>
      </c>
    </row>
    <row r="7" spans="1:12" x14ac:dyDescent="0.2">
      <c r="A7" s="21" t="s">
        <v>400</v>
      </c>
      <c r="B7" s="22" t="s">
        <v>401</v>
      </c>
      <c r="C7" s="21">
        <v>3</v>
      </c>
      <c r="D7" s="21" t="s">
        <v>399</v>
      </c>
      <c r="E7" s="21" t="s">
        <v>399</v>
      </c>
      <c r="F7" s="21" t="s">
        <v>399</v>
      </c>
      <c r="G7" s="21" t="s">
        <v>399</v>
      </c>
      <c r="H7" s="21" t="s">
        <v>399</v>
      </c>
      <c r="J7">
        <v>9</v>
      </c>
      <c r="K7" t="s">
        <v>401</v>
      </c>
      <c r="L7">
        <v>3</v>
      </c>
    </row>
    <row r="8" spans="1:12" x14ac:dyDescent="0.2">
      <c r="A8" s="21" t="s">
        <v>402</v>
      </c>
      <c r="B8" s="22" t="s">
        <v>403</v>
      </c>
      <c r="C8" s="21">
        <v>5</v>
      </c>
      <c r="D8" s="21" t="s">
        <v>399</v>
      </c>
      <c r="E8" s="21" t="s">
        <v>399</v>
      </c>
      <c r="F8" s="21" t="s">
        <v>399</v>
      </c>
      <c r="G8" s="21" t="s">
        <v>399</v>
      </c>
      <c r="H8" s="21" t="s">
        <v>399</v>
      </c>
      <c r="J8">
        <v>16</v>
      </c>
      <c r="K8" t="s">
        <v>403</v>
      </c>
      <c r="L8">
        <v>5</v>
      </c>
    </row>
    <row r="9" spans="1:12" x14ac:dyDescent="0.2">
      <c r="A9" s="21" t="s">
        <v>404</v>
      </c>
      <c r="B9" s="22" t="s">
        <v>405</v>
      </c>
      <c r="C9" s="21">
        <v>8</v>
      </c>
      <c r="D9" s="21" t="s">
        <v>399</v>
      </c>
      <c r="E9" s="21" t="s">
        <v>399</v>
      </c>
      <c r="F9" s="21" t="s">
        <v>399</v>
      </c>
      <c r="G9" s="21" t="s">
        <v>399</v>
      </c>
      <c r="H9" s="21" t="s">
        <v>406</v>
      </c>
      <c r="J9">
        <v>26</v>
      </c>
      <c r="K9" t="s">
        <v>405</v>
      </c>
      <c r="L9">
        <v>8</v>
      </c>
    </row>
    <row r="10" spans="1:12" x14ac:dyDescent="0.2">
      <c r="A10" s="21" t="s">
        <v>407</v>
      </c>
      <c r="B10" s="22" t="s">
        <v>408</v>
      </c>
      <c r="C10" s="21">
        <v>13</v>
      </c>
      <c r="D10" s="21" t="s">
        <v>399</v>
      </c>
      <c r="E10" s="21" t="s">
        <v>399</v>
      </c>
      <c r="F10" s="21" t="s">
        <v>399</v>
      </c>
      <c r="G10" s="21" t="s">
        <v>406</v>
      </c>
      <c r="H10" s="21" t="s">
        <v>409</v>
      </c>
      <c r="J10">
        <v>51</v>
      </c>
      <c r="K10" t="s">
        <v>408</v>
      </c>
      <c r="L10">
        <v>13</v>
      </c>
    </row>
    <row r="11" spans="1:12" x14ac:dyDescent="0.2">
      <c r="A11" s="21" t="s">
        <v>410</v>
      </c>
      <c r="B11" s="22" t="s">
        <v>411</v>
      </c>
      <c r="C11" s="21">
        <v>20</v>
      </c>
      <c r="D11" s="21" t="s">
        <v>399</v>
      </c>
      <c r="E11" s="21" t="s">
        <v>399</v>
      </c>
      <c r="F11" s="21" t="s">
        <v>406</v>
      </c>
      <c r="G11" s="21" t="s">
        <v>409</v>
      </c>
      <c r="H11" s="21" t="s">
        <v>412</v>
      </c>
      <c r="J11">
        <v>91</v>
      </c>
      <c r="K11" t="s">
        <v>411</v>
      </c>
      <c r="L11">
        <v>20</v>
      </c>
    </row>
    <row r="12" spans="1:12" x14ac:dyDescent="0.2">
      <c r="A12" s="21" t="s">
        <v>413</v>
      </c>
      <c r="B12" s="22" t="s">
        <v>414</v>
      </c>
      <c r="C12" s="21">
        <v>32</v>
      </c>
      <c r="D12" s="21" t="s">
        <v>399</v>
      </c>
      <c r="E12" s="21" t="s">
        <v>406</v>
      </c>
      <c r="F12" s="21" t="s">
        <v>409</v>
      </c>
      <c r="G12" s="21" t="s">
        <v>412</v>
      </c>
      <c r="H12" s="21" t="s">
        <v>415</v>
      </c>
      <c r="J12">
        <v>151</v>
      </c>
      <c r="K12" t="s">
        <v>414</v>
      </c>
      <c r="L12">
        <v>32</v>
      </c>
    </row>
    <row r="13" spans="1:12" x14ac:dyDescent="0.2">
      <c r="A13" s="21" t="s">
        <v>416</v>
      </c>
      <c r="B13" s="22" t="s">
        <v>417</v>
      </c>
      <c r="C13" s="21">
        <v>50</v>
      </c>
      <c r="D13" s="21" t="s">
        <v>406</v>
      </c>
      <c r="E13" s="21" t="s">
        <v>409</v>
      </c>
      <c r="F13" s="21" t="s">
        <v>412</v>
      </c>
      <c r="G13" s="21" t="s">
        <v>415</v>
      </c>
      <c r="H13" s="21" t="s">
        <v>418</v>
      </c>
      <c r="J13">
        <v>281</v>
      </c>
      <c r="K13" t="s">
        <v>417</v>
      </c>
      <c r="L13">
        <v>50</v>
      </c>
    </row>
    <row r="14" spans="1:12" x14ac:dyDescent="0.2">
      <c r="A14" s="21" t="s">
        <v>419</v>
      </c>
      <c r="B14" s="22" t="s">
        <v>420</v>
      </c>
      <c r="C14" s="21">
        <v>80</v>
      </c>
      <c r="D14" s="21" t="s">
        <v>409</v>
      </c>
      <c r="E14" s="21" t="s">
        <v>412</v>
      </c>
      <c r="F14" s="21" t="s">
        <v>415</v>
      </c>
      <c r="G14" s="21" t="s">
        <v>418</v>
      </c>
      <c r="H14" s="21" t="s">
        <v>421</v>
      </c>
      <c r="J14">
        <v>501</v>
      </c>
      <c r="K14" t="s">
        <v>420</v>
      </c>
      <c r="L14">
        <v>80</v>
      </c>
    </row>
    <row r="15" spans="1:12" x14ac:dyDescent="0.2">
      <c r="A15" s="21" t="s">
        <v>422</v>
      </c>
      <c r="B15" s="22" t="s">
        <v>423</v>
      </c>
      <c r="C15" s="21">
        <v>125</v>
      </c>
      <c r="D15" s="21" t="s">
        <v>412</v>
      </c>
      <c r="E15" s="21" t="s">
        <v>415</v>
      </c>
      <c r="F15" s="21" t="s">
        <v>418</v>
      </c>
      <c r="G15" s="21" t="s">
        <v>421</v>
      </c>
      <c r="H15" s="21" t="s">
        <v>424</v>
      </c>
      <c r="J15">
        <v>1201</v>
      </c>
      <c r="K15" t="s">
        <v>423</v>
      </c>
      <c r="L15">
        <v>125</v>
      </c>
    </row>
    <row r="16" spans="1:12" x14ac:dyDescent="0.2">
      <c r="A16" s="21" t="s">
        <v>425</v>
      </c>
      <c r="B16" s="22" t="s">
        <v>426</v>
      </c>
      <c r="C16" s="21">
        <v>200</v>
      </c>
      <c r="D16" s="21" t="s">
        <v>415</v>
      </c>
      <c r="E16" s="21" t="s">
        <v>418</v>
      </c>
      <c r="F16" s="21" t="s">
        <v>421</v>
      </c>
      <c r="G16" s="21" t="s">
        <v>424</v>
      </c>
      <c r="H16" s="21" t="s">
        <v>427</v>
      </c>
      <c r="J16">
        <v>3201</v>
      </c>
      <c r="K16" t="s">
        <v>426</v>
      </c>
      <c r="L16">
        <v>200</v>
      </c>
    </row>
    <row r="17" spans="1:12" x14ac:dyDescent="0.2">
      <c r="A17" s="21" t="s">
        <v>428</v>
      </c>
      <c r="B17" s="22" t="s">
        <v>429</v>
      </c>
      <c r="C17" s="21">
        <v>315</v>
      </c>
      <c r="D17" s="21" t="s">
        <v>418</v>
      </c>
      <c r="E17" s="21" t="s">
        <v>421</v>
      </c>
      <c r="F17" s="21" t="s">
        <v>424</v>
      </c>
      <c r="G17" s="21" t="s">
        <v>427</v>
      </c>
      <c r="H17" s="21" t="s">
        <v>430</v>
      </c>
      <c r="J17">
        <v>10001</v>
      </c>
      <c r="K17" t="s">
        <v>429</v>
      </c>
      <c r="L17">
        <v>315</v>
      </c>
    </row>
    <row r="18" spans="1:12" x14ac:dyDescent="0.2">
      <c r="A18" s="21" t="s">
        <v>431</v>
      </c>
      <c r="B18" s="22" t="s">
        <v>432</v>
      </c>
      <c r="C18" s="21">
        <v>500</v>
      </c>
      <c r="D18" s="21" t="s">
        <v>421</v>
      </c>
      <c r="E18" s="21" t="s">
        <v>424</v>
      </c>
      <c r="F18" s="21" t="s">
        <v>427</v>
      </c>
      <c r="G18" s="21" t="s">
        <v>430</v>
      </c>
      <c r="H18" s="21" t="s">
        <v>433</v>
      </c>
      <c r="J18">
        <v>35001</v>
      </c>
      <c r="K18" t="s">
        <v>432</v>
      </c>
      <c r="L18">
        <v>500</v>
      </c>
    </row>
    <row r="19" spans="1:12" ht="26" x14ac:dyDescent="0.2">
      <c r="A19" s="21" t="s">
        <v>434</v>
      </c>
      <c r="B19" s="22" t="s">
        <v>435</v>
      </c>
      <c r="C19" s="21">
        <v>800</v>
      </c>
      <c r="D19" s="21" t="s">
        <v>424</v>
      </c>
      <c r="E19" s="21" t="s">
        <v>427</v>
      </c>
      <c r="F19" s="21" t="s">
        <v>430</v>
      </c>
      <c r="G19" s="21" t="s">
        <v>433</v>
      </c>
      <c r="H19" s="21" t="s">
        <v>433</v>
      </c>
      <c r="J19">
        <v>150001</v>
      </c>
      <c r="K19" t="s">
        <v>435</v>
      </c>
      <c r="L19">
        <v>800</v>
      </c>
    </row>
    <row r="20" spans="1:12" x14ac:dyDescent="0.2">
      <c r="A20" s="21" t="s">
        <v>436</v>
      </c>
      <c r="B20" s="22" t="s">
        <v>437</v>
      </c>
      <c r="C20" s="21">
        <v>1250</v>
      </c>
      <c r="D20" s="21" t="s">
        <v>427</v>
      </c>
      <c r="E20" s="21" t="s">
        <v>430</v>
      </c>
      <c r="F20" s="21" t="s">
        <v>433</v>
      </c>
      <c r="G20" s="21" t="s">
        <v>433</v>
      </c>
      <c r="H20" s="21" t="s">
        <v>433</v>
      </c>
      <c r="J20">
        <v>500001</v>
      </c>
      <c r="K20" t="s">
        <v>437</v>
      </c>
      <c r="L20">
        <v>1250</v>
      </c>
    </row>
    <row r="22" spans="1:12" x14ac:dyDescent="0.2">
      <c r="A22" s="55" t="s">
        <v>438</v>
      </c>
      <c r="B22" s="55"/>
      <c r="C22" s="55"/>
      <c r="D22" s="55"/>
      <c r="E22" s="55"/>
      <c r="F22" s="55"/>
      <c r="G22" s="55"/>
      <c r="H22" s="55"/>
    </row>
    <row r="23" spans="1:12" x14ac:dyDescent="0.2">
      <c r="A23" s="52" t="s">
        <v>439</v>
      </c>
      <c r="B23" s="52"/>
      <c r="C23" s="23">
        <v>1500</v>
      </c>
    </row>
    <row r="24" spans="1:12" x14ac:dyDescent="0.2">
      <c r="A24" s="52" t="s">
        <v>440</v>
      </c>
      <c r="B24" s="52"/>
      <c r="C24" s="24" t="str">
        <f>INDEX($K$6:$K$20,MATCH(C23,$J$6:$J$20,1))</f>
        <v>K</v>
      </c>
    </row>
    <row r="25" spans="1:12" x14ac:dyDescent="0.2">
      <c r="A25" s="52" t="s">
        <v>441</v>
      </c>
      <c r="B25" s="52"/>
      <c r="C25" s="24">
        <f>INDEX($L$6:$L$20,MATCH(C23,$J$6:$J$20,1))</f>
        <v>125</v>
      </c>
    </row>
    <row r="26" spans="1:12" x14ac:dyDescent="0.2">
      <c r="A26" s="52" t="s">
        <v>442</v>
      </c>
      <c r="B26" s="52"/>
      <c r="C26" s="24" t="str">
        <f>INDEX($D$6:$D$20,MATCH(C23,$J$6:$J$20,1))</f>
        <v>2 / 3</v>
      </c>
    </row>
    <row r="27" spans="1:12" x14ac:dyDescent="0.2">
      <c r="A27" s="52" t="s">
        <v>443</v>
      </c>
      <c r="B27" s="52"/>
      <c r="C27" s="24" t="str">
        <f>INDEX($F$6:$F$20,MATCH(C23,$J$6:$J$20,1))</f>
        <v>5 / 6</v>
      </c>
    </row>
    <row r="28" spans="1:12" x14ac:dyDescent="0.2">
      <c r="A28" s="52" t="s">
        <v>444</v>
      </c>
      <c r="B28" s="52"/>
      <c r="C28" s="24" t="str">
        <f>INDEX($H$6:$H$20,MATCH(C23,$J$6:$J$20,1))</f>
        <v>10 / 11</v>
      </c>
    </row>
    <row r="30" spans="1:12" x14ac:dyDescent="0.2">
      <c r="A30" s="51" t="s">
        <v>445</v>
      </c>
      <c r="B30" s="51"/>
      <c r="C30" s="51"/>
      <c r="D30" s="51"/>
      <c r="E30" s="51"/>
      <c r="F30" s="51"/>
      <c r="G30" s="51"/>
      <c r="H30" s="51"/>
    </row>
    <row r="31" spans="1:12" x14ac:dyDescent="0.2">
      <c r="A31" s="51" t="s">
        <v>446</v>
      </c>
      <c r="B31" s="51"/>
      <c r="C31" s="51"/>
      <c r="D31" s="51"/>
      <c r="E31" s="51"/>
      <c r="F31" s="51"/>
      <c r="G31" s="51"/>
      <c r="H31" s="51"/>
    </row>
    <row r="32" spans="1:12" x14ac:dyDescent="0.2">
      <c r="A32" s="51" t="s">
        <v>447</v>
      </c>
      <c r="B32" s="51"/>
      <c r="C32" s="51"/>
      <c r="D32" s="51"/>
      <c r="E32" s="51"/>
      <c r="F32" s="51"/>
      <c r="G32" s="51"/>
      <c r="H32" s="51"/>
    </row>
  </sheetData>
  <mergeCells count="13">
    <mergeCell ref="A1:H1"/>
    <mergeCell ref="A2:H2"/>
    <mergeCell ref="A4:H4"/>
    <mergeCell ref="A22:H22"/>
    <mergeCell ref="A23:B23"/>
    <mergeCell ref="A30:H30"/>
    <mergeCell ref="A31:H31"/>
    <mergeCell ref="A32:H32"/>
    <mergeCell ref="A24:B24"/>
    <mergeCell ref="A25:B25"/>
    <mergeCell ref="A26:B26"/>
    <mergeCell ref="A27:B27"/>
    <mergeCell ref="A28:B28"/>
  </mergeCells>
  <conditionalFormatting sqref="D6:D20">
    <cfRule type="expression" dxfId="2" priority="2">
      <formula>1</formula>
    </cfRule>
  </conditionalFormatting>
  <conditionalFormatting sqref="F6:F20">
    <cfRule type="expression" dxfId="1" priority="3">
      <formula>1</formula>
    </cfRule>
  </conditionalFormatting>
  <conditionalFormatting sqref="H6:H20">
    <cfRule type="expression" dxfId="0" priority="4">
      <formula>1</formula>
    </cfRule>
  </conditionalFormatting>
  <pageMargins left="0.75" right="0.75" top="1" bottom="1" header="0.511811023622047" footer="0.511811023622047"/>
  <pageSetup scale="89"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HƯỚNG DẪN - GUIDE</vt:lpstr>
      <vt:lpstr>IN NHÃN</vt:lpstr>
      <vt:lpstr>IN LỤA</vt:lpstr>
      <vt:lpstr>DẬP-CNC</vt:lpstr>
      <vt:lpstr>TẦN SUẤT &amp; CỠ MẪU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DANG THE THIEP (HENRY)</cp:lastModifiedBy>
  <cp:revision>0</cp:revision>
  <cp:lastPrinted>2026-06-08T02:56:37Z</cp:lastPrinted>
  <dcterms:created xsi:type="dcterms:W3CDTF">2026-06-02T10:01:34Z</dcterms:created>
  <dcterms:modified xsi:type="dcterms:W3CDTF">2026-06-24T01:26:12Z</dcterms:modified>
  <dc:language>en-US</dc:language>
</cp:coreProperties>
</file>